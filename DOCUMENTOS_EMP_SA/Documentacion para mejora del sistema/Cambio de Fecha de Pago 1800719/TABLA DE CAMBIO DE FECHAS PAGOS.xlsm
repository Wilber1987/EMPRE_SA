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ThisWorkbook"/>
  <xr:revisionPtr revIDLastSave="0" documentId="13_ncr:1_{21506E5C-1CDC-4C9A-9C9B-51F7165B4C4C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Hoja1" sheetId="1" r:id="rId1"/>
  </sheets>
  <functionGroups builtInGroupCount="19"/>
  <definedNames>
    <definedName name="departamento" localSheetId="0">Hoja1!$B$8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" l="1"/>
  <c r="C33" i="1"/>
  <c r="F22" i="1" l="1"/>
  <c r="C32" i="1" s="1"/>
  <c r="E21" i="1"/>
  <c r="C31" i="1" s="1"/>
  <c r="E18" i="1"/>
  <c r="B26" i="1" s="1"/>
  <c r="F23" i="1"/>
  <c r="G23" i="1"/>
  <c r="G22" i="1"/>
  <c r="F21" i="1"/>
  <c r="M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Y5" authorId="0" shapeId="0" xr:uid="{8EF72037-B881-4A3E-8416-D0CC1ACDCD96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charset val="1"/>
          </rPr>
          <t xml:space="preserve">
LOS MESES QUE LE HACEN FALTA PARA LLEGAR A LA FECHA ÚLTIMA DE PAGO DE SU TABLA DE PAGO DEL CONTRATO.
Y SI COLO HA VENIDO DANDO INTERES, LAS CUOTAS QUEDARAN MAS ALTAS?</t>
        </r>
      </text>
    </comment>
  </commentList>
</comments>
</file>

<file path=xl/sharedStrings.xml><?xml version="1.0" encoding="utf-8"?>
<sst xmlns="http://schemas.openxmlformats.org/spreadsheetml/2006/main" count="33" uniqueCount="32">
  <si>
    <t xml:space="preserve">RUC J0310000300895    </t>
  </si>
  <si>
    <r>
      <rPr>
        <b/>
        <sz val="12"/>
        <color rgb="FF002060"/>
        <rFont val="Times New Roman"/>
        <family val="1"/>
      </rPr>
      <t xml:space="preserve">EMPEÑOS Y PRÉSTAMOS SOCIEDAD ANONIMA </t>
    </r>
    <r>
      <rPr>
        <b/>
        <u/>
        <sz val="12"/>
        <color rgb="FF002060"/>
        <rFont val="Times New Roman"/>
        <family val="1"/>
      </rPr>
      <t>"EMPRE S.A"</t>
    </r>
    <r>
      <rPr>
        <u/>
        <sz val="12"/>
        <color rgb="FF44546A"/>
        <rFont val="Times New Roman"/>
        <family val="1"/>
      </rPr>
      <t xml:space="preserve">  </t>
    </r>
  </si>
  <si>
    <r>
      <t xml:space="preserve"> Oficina Central 82572062</t>
    </r>
    <r>
      <rPr>
        <b/>
        <sz val="12"/>
        <color rgb="FF002060"/>
        <rFont val="Times New Roman"/>
        <family val="1"/>
      </rPr>
      <t xml:space="preserve"> (Mov.); 57199497 (Cl), 25353613 (Planta)</t>
    </r>
  </si>
  <si>
    <t xml:space="preserve">  CONTRATO DE MUTUO Y PRÉSTAMO GARANTIZADO CON PRENDA COMERCIAL</t>
  </si>
  <si>
    <t xml:space="preserve">               ACUERDO ADMINISTRATIVO DE CAMBIO DE FECHA DE PAGO DEL                </t>
  </si>
  <si>
    <t>“Tu  Prosperidad,  Es  Nuestro Éxito….”</t>
  </si>
  <si>
    <r>
      <t>Nosotros: Jose Adilio Aguirre Jarquín, mayor de edad, casado, ingeniero Industrial, Nicaragüense y de este domicilio, actuando en calidad de apoderado generalísimo de la sociedad Anónima  denominada: " EMPEÑOS Y PRESTAMOS S.A " EMPRESA, Sociedad que es de este domicilio, constituida, autorizada y existente de conformidad a las leyes de la República de Nicaragua, en escritura pública #51, Constitución de Sociedad Anónima y estatutos, y bajo el asiento #10011, Pág. 229/245, Tomo 97, Libro segundo de sociedades del Registro público de Carazo, que por brevedad en lo sucesivo del presente contrato  se le podrá  denominar el ACREEDOR; y por otra parte  el / la señor (a) :</t>
    </r>
    <r>
      <rPr>
        <b/>
        <sz val="12"/>
        <color rgb="FF002060"/>
        <rFont val="Agency FB"/>
        <family val="2"/>
      </rPr>
      <t xml:space="preserve"> </t>
    </r>
    <r>
      <rPr>
        <sz val="12"/>
        <color theme="1"/>
        <rFont val="Agency FB"/>
        <family val="2"/>
      </rPr>
      <t>, mayor de edad, con número de cédula:</t>
    </r>
    <r>
      <rPr>
        <b/>
        <sz val="12"/>
        <color rgb="FF002060"/>
        <rFont val="Agency FB"/>
        <family val="2"/>
      </rPr>
      <t xml:space="preserve"> </t>
    </r>
    <r>
      <rPr>
        <sz val="12"/>
        <color theme="1"/>
        <rFont val="Agency FB"/>
        <family val="2"/>
      </rPr>
      <t>,con domicilio:</t>
    </r>
    <r>
      <rPr>
        <b/>
        <sz val="12"/>
        <color rgb="FF002060"/>
        <rFont val="Agency FB"/>
        <family val="2"/>
      </rPr>
      <t xml:space="preserve"> </t>
    </r>
    <r>
      <rPr>
        <sz val="12"/>
        <color theme="1"/>
        <rFont val="Agency FB"/>
        <family val="2"/>
      </rPr>
      <t>, Estado civil</t>
    </r>
    <r>
      <rPr>
        <b/>
        <sz val="12"/>
        <color rgb="FF002060"/>
        <rFont val="Agency FB"/>
        <family val="2"/>
      </rPr>
      <t xml:space="preserve">  </t>
    </r>
    <r>
      <rPr>
        <sz val="12"/>
        <color theme="1"/>
        <rFont val="Agency FB"/>
        <family val="2"/>
      </rPr>
      <t>,quien habita en el municipio de:</t>
    </r>
    <r>
      <rPr>
        <b/>
        <sz val="12"/>
        <color rgb="FF002060"/>
        <rFont val="Agency FB"/>
        <family val="2"/>
      </rPr>
      <t xml:space="preserve"> </t>
    </r>
    <r>
      <rPr>
        <sz val="12"/>
        <color theme="1"/>
        <rFont val="Agency FB"/>
        <family val="2"/>
      </rPr>
      <t>, Departamento de</t>
    </r>
    <r>
      <rPr>
        <b/>
        <sz val="12"/>
        <color rgb="FF002060"/>
        <rFont val="Agency FB"/>
        <family val="2"/>
      </rPr>
      <t xml:space="preserve"> </t>
    </r>
    <r>
      <rPr>
        <sz val="12"/>
        <color theme="1"/>
        <rFont val="Agency FB"/>
        <family val="2"/>
      </rPr>
      <t>,a quien en sucesivo se le denominará el    "DEUDOR", hemos convenido en realizar un "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Agency FB"/>
        <family val="2"/>
      </rPr>
      <t>ACUERDO ADMINISTRATIVO DE CAMBIO DE FECHA DEL CONTRATO DE MUTUO Y PRÉSTAMO GARANTIZADO CON PRENDA COMERCIAL" considerando.</t>
    </r>
  </si>
  <si>
    <r>
      <t>1. PRIMERO (CONTEXTO):</t>
    </r>
    <r>
      <rPr>
        <sz val="10.5"/>
        <color theme="1"/>
        <rFont val="Agency FB"/>
        <family val="2"/>
      </rPr>
      <t xml:space="preserve"> El deudor confiesa que debido a cambio en sus fechas de pagos, y cambio en sus planes de ingresos económicos, le es imposible cumplir con sus obligaciones de pago en las fechas indicadas en la tabla de amortización de su contrato de “MUTUO Y PRÉSTAMO </t>
    </r>
  </si>
  <si>
    <t>GARANTIZADO CON PRENDA COMERCIAL N°</t>
  </si>
  <si>
    <t>NÚMERO DE CONTRATO</t>
  </si>
  <si>
    <r>
      <t>2. SEGUNDA (MONTO PENDIENTE DEL PRÉSTAMO):</t>
    </r>
    <r>
      <rPr>
        <sz val="10.5"/>
        <color theme="1"/>
        <rFont val="Agency FB"/>
        <family val="2"/>
      </rPr>
      <t xml:space="preserve"> El deudor confiesa tener recibido de parte del acreedor, un monto pendiente de capital de su </t>
    </r>
  </si>
  <si>
    <t xml:space="preserve">préstamo en calidad de mutuo, por la cantidad de: </t>
  </si>
  <si>
    <t>SALDO PARA CAMBIO DE FECHA C$</t>
  </si>
  <si>
    <t>SALDO PARA CAMBIO DE FECHA   $</t>
  </si>
  <si>
    <t xml:space="preserve">Según el valor de la compra del dólar a la fecha de hoy de: </t>
  </si>
  <si>
    <t>CAMBIO DE CÓRDOBA A DÓLAR</t>
  </si>
  <si>
    <r>
      <t xml:space="preserve">3. TERCERA (REGIMEN LEGAL): </t>
    </r>
    <r>
      <rPr>
        <sz val="10.5"/>
        <color theme="1"/>
        <rFont val="Agency FB"/>
        <family val="2"/>
      </rPr>
      <t>El presente acuerdo de cambio de fecha de pago, y todos los derechos o actos que se deriven o sean consecuencia del mismo, quedan sometidos a todas y cada una de las cláusulas del CONTRATO DE MUTUO Y PRÉSTAMO GARANTIZADO CON PRENDA COMERCIAL NÚMERO</t>
    </r>
  </si>
  <si>
    <t xml:space="preserve">por lo que ha solicitado y se le ha aprobado cambio en su fecha de pago, con </t>
  </si>
  <si>
    <t xml:space="preserve">el fin de no incurrir en morosidad y continuar activo en el sistema.  </t>
  </si>
  <si>
    <t xml:space="preserve"> equivalente a moneda de los Estados Unidos de América: </t>
  </si>
  <si>
    <t xml:space="preserve">Y queda sometidos a la Ley 842, ley 176, ley de prenda comercial 146, ley 936 (ley de garantías mobiliarias) y en su defecto al Código Civil y el Código de Comercio y </t>
  </si>
  <si>
    <t>demás leyes de la República de Nicaragua.</t>
  </si>
  <si>
    <t>4. CUARTA (NUEVAS FECHAS DE PAGO Y TABLA DE AMORTIZACION):</t>
  </si>
  <si>
    <t>CAPITAL PENDIENTE C$</t>
  </si>
  <si>
    <t>CAPITAL PENDIENTE $</t>
  </si>
  <si>
    <t>PLAZO PARA CANCELAR</t>
  </si>
  <si>
    <t>TABLA DE AMORTIZACION DE DEUDA POR GARANTIA PRENDARIA</t>
  </si>
  <si>
    <t>INTERES NETO CORRIENTE</t>
  </si>
  <si>
    <t>INTERÉS NETO CORRIENTE</t>
  </si>
  <si>
    <t>C$</t>
  </si>
  <si>
    <t>$</t>
  </si>
  <si>
    <t>NUEVAS FECHAS DE PAGO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</si>
</sst>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C$&quot;* #,##0.00_-;\-&quot;C$&quot;* #,##0.00_-;_-&quot;C$&quot;* &quot;-&quot;??_-;_-@_-"/>
    <numFmt numFmtId="169" formatCode="[$-F800]dddd\,\ mmmm\ dd\,\ yyyy"/>
    <numFmt numFmtId="170" formatCode="_-[$C$-4C0A]* #,##0.00_-;\-[$C$-4C0A]* #,##0.00_-;_-[$C$-4C0A]* &quot;-&quot;??_-;_-@_-"/>
    <numFmt numFmtId="171" formatCode="[$$-540A]#,##0.00_ ;\-[$$-540A]#,##0.00\ 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2060"/>
      <name val="Times New Roman"/>
      <family val="1"/>
    </font>
    <font>
      <sz val="12"/>
      <color rgb="FF44546A"/>
      <name val="Times New Roman"/>
      <family val="1"/>
    </font>
    <font>
      <b/>
      <sz val="12"/>
      <color rgb="FF002060"/>
      <name val="Times New Roman"/>
      <family val="1"/>
    </font>
    <font>
      <b/>
      <u/>
      <sz val="12"/>
      <color rgb="FF002060"/>
      <name val="Times New Roman"/>
      <family val="1"/>
    </font>
    <font>
      <u/>
      <sz val="12"/>
      <color rgb="FF44546A"/>
      <name val="Times New Roman"/>
      <family val="1"/>
    </font>
    <font>
      <sz val="12"/>
      <color theme="1"/>
      <name val="Times New Roman"/>
      <family val="1"/>
    </font>
    <font>
      <sz val="12"/>
      <color rgb="FF002060"/>
      <name val="Times New Roman"/>
      <family val="1"/>
    </font>
    <font>
      <b/>
      <sz val="10.5"/>
      <color rgb="FF002060"/>
      <name val="Times New Roman"/>
      <family val="1"/>
    </font>
    <font>
      <sz val="10.5"/>
      <color theme="1"/>
      <name val="Agency FB"/>
      <family val="2"/>
    </font>
    <font>
      <b/>
      <sz val="10.5"/>
      <color theme="1"/>
      <name val="Agency FB"/>
      <family val="2"/>
    </font>
    <font>
      <sz val="12"/>
      <color theme="1"/>
      <name val="Agency FB"/>
      <family val="2"/>
    </font>
    <font>
      <b/>
      <sz val="12"/>
      <color rgb="FF002060"/>
      <name val="Agency FB"/>
      <family val="2"/>
    </font>
    <font>
      <sz val="12"/>
      <color theme="1"/>
      <name val="Calibri"/>
      <family val="2"/>
      <scheme val="minor"/>
    </font>
    <font>
      <sz val="11"/>
      <color rgb="FF002060"/>
      <name val="Times New Roman"/>
      <family val="2"/>
    </font>
    <font>
      <sz val="8"/>
      <color theme="1"/>
      <name val="TIMi"/>
    </font>
    <font>
      <b/>
      <sz val="11"/>
      <color theme="1"/>
      <name val="Agency FB"/>
      <family val="2"/>
    </font>
    <font>
      <b/>
      <sz val="12"/>
      <color theme="1"/>
      <name val="Agency FB"/>
      <family val="2"/>
    </font>
    <font>
      <b/>
      <sz val="10"/>
      <color theme="1"/>
      <name val="Agency FB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left" vertical="center" wrapText="1"/>
    </xf>
    <xf numFmtId="0" fontId="11" fillId="0" borderId="0" xfId="0" applyFont="1"/>
    <xf numFmtId="0" fontId="11" fillId="0" borderId="0" xfId="0" applyFont="1" applyAlignment="1">
      <alignment horizontal="left" wrapText="1"/>
    </xf>
    <xf numFmtId="169" fontId="16" fillId="0" borderId="0" xfId="0" applyNumberFormat="1" applyFont="1" applyAlignment="1">
      <alignment horizontal="right"/>
    </xf>
    <xf numFmtId="0" fontId="12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12" fillId="0" borderId="2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0" xfId="0" applyFont="1" applyAlignment="1">
      <alignment horizontal="left" vertical="center" wrapText="1"/>
    </xf>
    <xf numFmtId="0" fontId="18" fillId="0" borderId="1" xfId="0" applyFont="1" applyBorder="1" applyAlignment="1">
      <alignment horizontal="center" vertical="center" wrapText="1"/>
    </xf>
    <xf numFmtId="170" fontId="18" fillId="0" borderId="1" xfId="0" applyNumberFormat="1" applyFont="1" applyBorder="1" applyAlignment="1">
      <alignment horizontal="center" vertical="center" wrapText="1"/>
    </xf>
    <xf numFmtId="171" fontId="18" fillId="0" borderId="1" xfId="0" applyNumberFormat="1" applyFont="1" applyBorder="1" applyAlignment="1">
      <alignment horizontal="center" vertical="center" wrapText="1"/>
    </xf>
    <xf numFmtId="170" fontId="17" fillId="0" borderId="1" xfId="0" applyNumberFormat="1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1" fillId="0" borderId="0" xfId="0" applyFont="1" applyAlignment="1">
      <alignment horizontal="center" vertical="top" wrapText="1"/>
    </xf>
    <xf numFmtId="0" fontId="10" fillId="0" borderId="3" xfId="0" applyFont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10" fillId="0" borderId="5" xfId="0" applyFont="1" applyBorder="1" applyAlignment="1">
      <alignment horizontal="center"/>
    </xf>
    <xf numFmtId="170" fontId="11" fillId="0" borderId="1" xfId="0" applyNumberFormat="1" applyFont="1" applyBorder="1" applyAlignment="1">
      <alignment horizontal="center" vertical="center" wrapText="1"/>
    </xf>
    <xf numFmtId="44" fontId="11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wrapText="1"/>
    </xf>
    <xf numFmtId="0" fontId="11" fillId="0" borderId="5" xfId="0" applyFont="1" applyBorder="1" applyAlignment="1">
      <alignment horizontal="center" wrapText="1"/>
    </xf>
    <xf numFmtId="0" fontId="15" fillId="0" borderId="0" xfId="0" applyFont="1" applyFill="1" applyBorder="1" applyAlignment="1">
      <alignment vertical="center" wrapText="1"/>
    </xf>
    <xf numFmtId="9" fontId="18" fillId="0" borderId="1" xfId="1" applyFont="1" applyBorder="1" applyAlignment="1">
      <alignment horizontal="center" vertical="center" wrapText="1"/>
    </xf>
    <xf numFmtId="9" fontId="10" fillId="0" borderId="4" xfId="0" applyNumberFormat="1" applyFont="1" applyBorder="1" applyAlignment="1">
      <alignment horizontal="center"/>
    </xf>
    <xf numFmtId="0" fontId="10" fillId="0" borderId="1" xfId="0" applyFont="1" applyBorder="1"/>
    <xf numFmtId="0" fontId="10" fillId="0" borderId="5" xfId="0" applyFont="1" applyBorder="1"/>
    <xf numFmtId="0" fontId="11" fillId="0" borderId="4" xfId="0" applyFont="1" applyBorder="1" applyAlignment="1"/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4" xfId="0" applyFont="1" applyBorder="1" applyAlignment="1">
      <alignment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Z35"/>
  <sheetViews>
    <sheetView tabSelected="1" view="pageLayout" zoomScale="55" zoomScaleNormal="100" zoomScalePageLayoutView="55" workbookViewId="0">
      <selection activeCell="B1" sqref="B1:L28"/>
    </sheetView>
  </sheetViews>
  <sheetFormatPr baseColWidth="10" defaultColWidth="9.140625" defaultRowHeight="15" x14ac:dyDescent="0.25"/>
  <cols>
    <col min="1" max="1" width="3" customWidth="1"/>
    <col min="2" max="2" width="16.42578125" bestFit="1" customWidth="1"/>
    <col min="3" max="3" width="11.28515625" customWidth="1"/>
    <col min="4" max="4" width="5.28515625" customWidth="1"/>
    <col min="5" max="5" width="5" customWidth="1"/>
    <col min="6" max="6" width="6.5703125" customWidth="1"/>
    <col min="7" max="7" width="6.140625" customWidth="1"/>
    <col min="8" max="8" width="7" customWidth="1"/>
    <col min="9" max="10" width="8.140625" customWidth="1"/>
    <col min="11" max="11" width="3.7109375" customWidth="1"/>
    <col min="12" max="12" width="8.140625" customWidth="1"/>
    <col min="13" max="13" width="12" customWidth="1"/>
    <col min="15" max="15" width="12" customWidth="1"/>
    <col min="16" max="16" width="10.5703125" bestFit="1" customWidth="1"/>
    <col min="19" max="19" width="7.28515625" customWidth="1"/>
    <col min="20" max="20" width="5.7109375" customWidth="1"/>
    <col min="21" max="21" width="7.42578125" customWidth="1"/>
    <col min="22" max="22" width="3.140625" customWidth="1"/>
    <col min="23" max="23" width="3.28515625" customWidth="1"/>
    <col min="24" max="24" width="38.140625" customWidth="1"/>
    <col min="25" max="25" width="10.5703125" bestFit="1" customWidth="1"/>
  </cols>
  <sheetData>
    <row r="1" spans="2:26" ht="15.75" x14ac:dyDescent="0.25">
      <c r="B1" s="1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1">
        <f ca="1">+TODAY()</f>
        <v>43704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t="s">
        <v>15</v>
      </c>
      <c r="Y1" s="19">
        <v>33.619999999999997</v>
      </c>
    </row>
    <row r="2" spans="2:26" ht="15" customHeight="1" x14ac:dyDescent="0.25">
      <c r="B2" s="1" t="s">
        <v>5</v>
      </c>
      <c r="C2" s="1"/>
      <c r="D2" s="1"/>
      <c r="E2" s="1"/>
      <c r="F2" s="1"/>
      <c r="G2" s="1"/>
      <c r="H2" s="1"/>
      <c r="I2" s="1"/>
      <c r="J2" s="1"/>
      <c r="K2" s="1"/>
      <c r="L2" s="1"/>
      <c r="X2" t="s">
        <v>9</v>
      </c>
      <c r="Y2" s="18">
        <v>4556</v>
      </c>
      <c r="Z2" s="14"/>
    </row>
    <row r="3" spans="2:26" ht="17.25" customHeight="1" x14ac:dyDescent="0.25">
      <c r="B3" s="2" t="s">
        <v>0</v>
      </c>
      <c r="C3" s="2"/>
      <c r="D3" s="2"/>
      <c r="E3" s="2"/>
      <c r="F3" s="2"/>
      <c r="G3" s="2"/>
      <c r="H3" s="2"/>
      <c r="I3" s="2"/>
      <c r="J3" s="2"/>
      <c r="K3" s="2"/>
      <c r="L3" s="2"/>
      <c r="X3" s="13" t="s">
        <v>12</v>
      </c>
      <c r="Y3" s="19">
        <v>4500</v>
      </c>
      <c r="Z3" s="14"/>
    </row>
    <row r="4" spans="2:26" ht="30" x14ac:dyDescent="0.25">
      <c r="B4" s="3" t="s">
        <v>2</v>
      </c>
      <c r="C4" s="3"/>
      <c r="D4" s="3"/>
      <c r="E4" s="3"/>
      <c r="F4" s="3"/>
      <c r="G4" s="3"/>
      <c r="H4" s="3"/>
      <c r="I4" s="3"/>
      <c r="J4" s="3"/>
      <c r="K4" s="3"/>
      <c r="L4" s="3"/>
      <c r="X4" s="13" t="s">
        <v>13</v>
      </c>
      <c r="Y4" s="20">
        <v>145</v>
      </c>
      <c r="Z4" s="14"/>
    </row>
    <row r="5" spans="2:26" ht="15.75" x14ac:dyDescent="0.25">
      <c r="X5" s="13" t="s">
        <v>25</v>
      </c>
      <c r="Y5" s="18">
        <v>8</v>
      </c>
    </row>
    <row r="6" spans="2:26" ht="6.75" customHeight="1" x14ac:dyDescent="0.25">
      <c r="B6" s="4" t="s">
        <v>4</v>
      </c>
      <c r="C6" s="4"/>
      <c r="D6" s="4"/>
      <c r="E6" s="4"/>
      <c r="F6" s="4"/>
      <c r="G6" s="4"/>
      <c r="H6" s="4"/>
      <c r="I6" s="4"/>
      <c r="J6" s="4"/>
      <c r="K6" s="4"/>
      <c r="L6" s="4"/>
    </row>
    <row r="7" spans="2:26" ht="15.75" x14ac:dyDescent="0.25">
      <c r="B7" s="4" t="s">
        <v>3</v>
      </c>
      <c r="C7" s="4"/>
      <c r="D7" s="4"/>
      <c r="E7" s="4"/>
      <c r="F7" s="4"/>
      <c r="G7" s="4"/>
      <c r="H7" s="4"/>
      <c r="I7" s="4"/>
      <c r="J7" s="4"/>
      <c r="K7" s="4"/>
      <c r="L7" s="4"/>
      <c r="X7" s="42" t="s">
        <v>28</v>
      </c>
      <c r="Y7" s="43">
        <v>0.01</v>
      </c>
    </row>
    <row r="8" spans="2:26" ht="18.75" customHeight="1" x14ac:dyDescent="0.25">
      <c r="B8" s="8" t="s">
        <v>6</v>
      </c>
      <c r="C8" s="8"/>
      <c r="D8" s="8"/>
      <c r="E8" s="8"/>
      <c r="F8" s="8"/>
      <c r="G8" s="8"/>
      <c r="H8" s="8"/>
      <c r="I8" s="8"/>
      <c r="J8" s="8"/>
      <c r="K8" s="8"/>
      <c r="L8" s="8"/>
    </row>
    <row r="9" spans="2:26" x14ac:dyDescent="0.25">
      <c r="B9" s="8"/>
      <c r="C9" s="8"/>
      <c r="D9" s="8"/>
      <c r="E9" s="8"/>
      <c r="F9" s="8"/>
      <c r="G9" s="8"/>
      <c r="H9" s="8"/>
      <c r="I9" s="8"/>
      <c r="J9" s="8"/>
      <c r="K9" s="8"/>
      <c r="L9" s="8"/>
    </row>
    <row r="10" spans="2:26" x14ac:dyDescent="0.25"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</row>
    <row r="11" spans="2:26" x14ac:dyDescent="0.25"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</row>
    <row r="12" spans="2:26" x14ac:dyDescent="0.25"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</row>
    <row r="13" spans="2:26" x14ac:dyDescent="0.25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</row>
    <row r="14" spans="2:26" x14ac:dyDescent="0.25"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</row>
    <row r="15" spans="2:26" x14ac:dyDescent="0.25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</row>
    <row r="16" spans="2:26" ht="28.5" customHeight="1" x14ac:dyDescent="0.25">
      <c r="B16" s="10" t="s">
        <v>7</v>
      </c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2:12" ht="15" customHeight="1" x14ac:dyDescent="0.25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2:12" ht="15.75" x14ac:dyDescent="0.25">
      <c r="B18" s="8" t="s">
        <v>8</v>
      </c>
      <c r="C18" s="8"/>
      <c r="D18" s="8"/>
      <c r="E18" s="18">
        <f>+Y2</f>
        <v>4556</v>
      </c>
      <c r="F18" s="16" t="s">
        <v>17</v>
      </c>
      <c r="G18" s="6"/>
      <c r="H18" s="6"/>
      <c r="I18" s="6"/>
      <c r="J18" s="6"/>
      <c r="K18" s="6"/>
      <c r="L18" s="6"/>
    </row>
    <row r="19" spans="2:12" ht="15" customHeight="1" x14ac:dyDescent="0.25">
      <c r="B19" s="17" t="s">
        <v>18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2:12" ht="15" customHeight="1" x14ac:dyDescent="0.25">
      <c r="B20" s="9" t="s">
        <v>10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2:12" ht="15" customHeight="1" x14ac:dyDescent="0.25">
      <c r="B21" s="17" t="s">
        <v>11</v>
      </c>
      <c r="C21" s="17"/>
      <c r="D21" s="17"/>
      <c r="E21" s="21">
        <f>+Y3</f>
        <v>4500</v>
      </c>
      <c r="F21" s="24" t="str">
        <f>ALETRASC(E21)</f>
        <v>Cuatro Mil Quinientos Córdoba (as) Con  00/100</v>
      </c>
      <c r="G21" s="25"/>
      <c r="H21" s="25"/>
      <c r="I21" s="25"/>
      <c r="J21" s="25"/>
      <c r="K21" s="25"/>
      <c r="L21" s="25"/>
    </row>
    <row r="22" spans="2:12" ht="15" customHeight="1" x14ac:dyDescent="0.25">
      <c r="B22" s="17" t="s">
        <v>19</v>
      </c>
      <c r="C22" s="17"/>
      <c r="D22" s="17"/>
      <c r="E22" s="27"/>
      <c r="F22" s="20">
        <f>+Y4</f>
        <v>145</v>
      </c>
      <c r="G22" s="22" t="str">
        <f>+ALETRAS(F22)</f>
        <v>Ciento Cuarenta y Cinco Dólar (es) Con  00/100</v>
      </c>
      <c r="H22" s="23"/>
      <c r="I22" s="23"/>
      <c r="J22" s="23"/>
      <c r="K22" s="23"/>
      <c r="L22" s="23"/>
    </row>
    <row r="23" spans="2:12" ht="15" customHeight="1" x14ac:dyDescent="0.25">
      <c r="B23" s="17" t="s">
        <v>14</v>
      </c>
      <c r="C23" s="17"/>
      <c r="D23" s="17"/>
      <c r="E23" s="17"/>
      <c r="F23" s="21">
        <f>+Y1</f>
        <v>33.619999999999997</v>
      </c>
      <c r="G23" s="15" t="str">
        <f>+ALETRASC(F23)</f>
        <v>Treinta y Tres Córdoba (as) Con 62/100</v>
      </c>
      <c r="H23" s="7"/>
      <c r="I23" s="7"/>
      <c r="J23" s="7"/>
      <c r="K23" s="7"/>
      <c r="L23" s="7"/>
    </row>
    <row r="24" spans="2:12" ht="15" customHeight="1" x14ac:dyDescent="0.25">
      <c r="B24" s="26" t="s">
        <v>16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</row>
    <row r="25" spans="2:12" ht="15" customHeight="1" x14ac:dyDescent="0.25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</row>
    <row r="26" spans="2:12" ht="15" customHeight="1" x14ac:dyDescent="0.25">
      <c r="B26" s="18">
        <f>+E18</f>
        <v>4556</v>
      </c>
      <c r="C26" s="28" t="s">
        <v>20</v>
      </c>
      <c r="D26" s="5"/>
      <c r="E26" s="5"/>
      <c r="F26" s="5"/>
      <c r="G26" s="5"/>
      <c r="H26" s="5"/>
      <c r="I26" s="5"/>
      <c r="J26" s="5"/>
      <c r="K26" s="5"/>
      <c r="L26" s="5"/>
    </row>
    <row r="27" spans="2:12" ht="15" customHeight="1" x14ac:dyDescent="0.25">
      <c r="B27" s="29" t="s">
        <v>21</v>
      </c>
      <c r="C27" s="30"/>
      <c r="D27" s="30"/>
      <c r="E27" s="30"/>
      <c r="F27" s="30"/>
      <c r="G27" s="30"/>
      <c r="H27" s="30"/>
      <c r="I27" s="30"/>
      <c r="J27" s="30"/>
      <c r="K27" s="30"/>
    </row>
    <row r="28" spans="2:12" x14ac:dyDescent="0.25">
      <c r="B28" s="31" t="s">
        <v>22</v>
      </c>
    </row>
    <row r="31" spans="2:12" x14ac:dyDescent="0.25">
      <c r="B31" s="47" t="s">
        <v>23</v>
      </c>
      <c r="C31" s="33">
        <f>+E21</f>
        <v>4500</v>
      </c>
      <c r="D31" s="36" t="s">
        <v>26</v>
      </c>
      <c r="E31" s="37"/>
      <c r="F31" s="37"/>
      <c r="G31" s="37"/>
      <c r="H31" s="37"/>
      <c r="I31" s="37"/>
      <c r="J31" s="37"/>
      <c r="K31" s="37"/>
      <c r="L31" s="37"/>
    </row>
    <row r="32" spans="2:12" x14ac:dyDescent="0.25">
      <c r="B32" s="47" t="s">
        <v>24</v>
      </c>
      <c r="C32" s="34">
        <f>+F22</f>
        <v>145</v>
      </c>
      <c r="D32" s="38"/>
      <c r="E32" s="39"/>
      <c r="F32" s="39"/>
      <c r="G32" s="39"/>
      <c r="H32" s="39"/>
      <c r="I32" s="39"/>
      <c r="J32" s="39"/>
      <c r="K32" s="39"/>
      <c r="L32" s="39"/>
    </row>
    <row r="33" spans="2:5" ht="28.5" customHeight="1" x14ac:dyDescent="0.25">
      <c r="B33" s="50" t="s">
        <v>25</v>
      </c>
      <c r="C33" s="35">
        <f>+Y5</f>
        <v>8</v>
      </c>
      <c r="D33" s="40" t="s">
        <v>27</v>
      </c>
      <c r="E33" s="41"/>
    </row>
    <row r="34" spans="2:5" x14ac:dyDescent="0.25">
      <c r="B34" s="36" t="s">
        <v>31</v>
      </c>
      <c r="C34" s="48"/>
      <c r="D34" s="44">
        <f>+Y7</f>
        <v>0.01</v>
      </c>
      <c r="E34" s="32"/>
    </row>
    <row r="35" spans="2:5" x14ac:dyDescent="0.25">
      <c r="B35" s="38"/>
      <c r="C35" s="49"/>
      <c r="D35" s="45" t="s">
        <v>29</v>
      </c>
      <c r="E35" s="46" t="s">
        <v>30</v>
      </c>
    </row>
  </sheetData>
  <mergeCells count="25">
    <mergeCell ref="B34:C35"/>
    <mergeCell ref="D33:E33"/>
    <mergeCell ref="D34:E34"/>
    <mergeCell ref="C26:L26"/>
    <mergeCell ref="B27:K27"/>
    <mergeCell ref="D31:L32"/>
    <mergeCell ref="B23:E23"/>
    <mergeCell ref="B24:L25"/>
    <mergeCell ref="B22:E22"/>
    <mergeCell ref="G22:L22"/>
    <mergeCell ref="G23:L23"/>
    <mergeCell ref="M1:W1"/>
    <mergeCell ref="B18:D18"/>
    <mergeCell ref="F18:L18"/>
    <mergeCell ref="B19:L19"/>
    <mergeCell ref="B21:D21"/>
    <mergeCell ref="F21:L21"/>
    <mergeCell ref="B6:L6"/>
    <mergeCell ref="B7:L7"/>
    <mergeCell ref="B8:L15"/>
    <mergeCell ref="B16:L17"/>
    <mergeCell ref="B4:L4"/>
    <mergeCell ref="B1:L1"/>
    <mergeCell ref="B2:L2"/>
    <mergeCell ref="B3:L3"/>
  </mergeCells>
  <pageMargins left="0.31496062992125984" right="0.31496062992125984" top="0.35433070866141736" bottom="0.35433070866141736" header="0.31496062992125984" footer="0.31496062992125984"/>
  <pageSetup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Hoja1!departamento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2019-08-28T00:38:10Z</dcterms:modified>
</cp:coreProperties>
</file>