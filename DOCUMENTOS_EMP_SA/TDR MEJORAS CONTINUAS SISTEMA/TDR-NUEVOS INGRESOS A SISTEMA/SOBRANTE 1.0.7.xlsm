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DESKTOP-31O0DC2\Users\Public\PROGRAMACIÓN EMPRE S.A\TDR MEJORAS CONTINUAS SISTEMA\TDR-NUEVOS INGRESOS A SISTEMA\"/>
    </mc:Choice>
  </mc:AlternateContent>
  <xr:revisionPtr revIDLastSave="0" documentId="13_ncr:1_{0E019D17-7A20-4966-9648-8F4D83688731}" xr6:coauthVersionLast="45" xr6:coauthVersionMax="45" xr10:uidLastSave="{00000000-0000-0000-0000-000000000000}"/>
  <bookViews>
    <workbookView xWindow="0" yWindow="0" windowWidth="20400" windowHeight="11070" activeTab="5" xr2:uid="{00000000-000D-0000-FFFF-FFFF00000000}"/>
  </bookViews>
  <sheets>
    <sheet name="INICIO" sheetId="1" r:id="rId1"/>
    <sheet name="BASE DE DATOS SOBRANTE" sheetId="2" r:id="rId2"/>
    <sheet name="indicaciones para validación" sheetId="5" r:id="rId3"/>
    <sheet name="CAMBIO" sheetId="7" state="hidden" r:id="rId4"/>
    <sheet name="USUARIOS" sheetId="6" state="hidden" r:id="rId5"/>
    <sheet name="DATA" sheetId="3" r:id="rId6"/>
  </sheets>
  <definedNames>
    <definedName name="sobrantes">'indicaciones para validación'!$A$2:$A$7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89" i="2" l="1"/>
  <c r="H189" i="2"/>
  <c r="O1" i="7" l="1"/>
  <c r="N1" i="7"/>
  <c r="M1" i="7"/>
  <c r="F1" i="7"/>
  <c r="C1" i="7"/>
  <c r="P1"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PC_ADMON</author>
  </authors>
  <commentList>
    <comment ref="E4" authorId="0" shapeId="0" xr:uid="{00000000-0006-0000-0100-000001000000}">
      <text>
        <r>
          <rPr>
            <b/>
            <sz val="9"/>
            <color indexed="81"/>
            <rFont val="Tahoma"/>
            <family val="2"/>
          </rPr>
          <t>PC_ADMON:</t>
        </r>
        <r>
          <rPr>
            <sz val="9"/>
            <color indexed="81"/>
            <rFont val="Tahoma"/>
            <family val="2"/>
          </rPr>
          <t xml:space="preserve">
FORMATO DE FECHA ESTA EN MM/DD/YYYY DEBIDO A QUE NO VBA NO ME PERMITIO REALIZARLO EN FORMATO LATINO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PC_ADMON</author>
  </authors>
  <commentList>
    <comment ref="A1" authorId="0" shapeId="0" xr:uid="{00000000-0006-0000-0500-000001000000}">
      <text>
        <r>
          <rPr>
            <b/>
            <sz val="9"/>
            <color indexed="81"/>
            <rFont val="Tahoma"/>
            <family val="2"/>
          </rPr>
          <t>PC_ADMON:</t>
        </r>
        <r>
          <rPr>
            <sz val="9"/>
            <color indexed="81"/>
            <rFont val="Tahoma"/>
            <family val="2"/>
          </rPr>
          <t xml:space="preserve">
INGRESAR LA TASA DE CAMBIO DE VENTA</t>
        </r>
      </text>
    </comment>
    <comment ref="A2" authorId="0" shapeId="0" xr:uid="{00000000-0006-0000-0500-000002000000}">
      <text>
        <r>
          <rPr>
            <b/>
            <sz val="9"/>
            <color indexed="81"/>
            <rFont val="Tahoma"/>
            <family val="2"/>
          </rPr>
          <t>PC_ADMON:</t>
        </r>
        <r>
          <rPr>
            <sz val="9"/>
            <color indexed="81"/>
            <rFont val="Tahoma"/>
            <family val="2"/>
          </rPr>
          <t xml:space="preserve">
INSERTAR TASA DE CAMBIO COMPRA</t>
        </r>
      </text>
    </comment>
    <comment ref="A3" authorId="0" shapeId="0" xr:uid="{00000000-0006-0000-0500-000003000000}">
      <text>
        <r>
          <rPr>
            <b/>
            <sz val="9"/>
            <color indexed="81"/>
            <rFont val="Tahoma"/>
            <family val="2"/>
          </rPr>
          <t>PC_ADMON:</t>
        </r>
        <r>
          <rPr>
            <sz val="9"/>
            <color indexed="81"/>
            <rFont val="Tahoma"/>
            <family val="2"/>
          </rPr>
          <t xml:space="preserve">
EDITAR SOLO EN CASO DE QUE SE HAGA UN NUEVO ACUERDO DE PAGO</t>
        </r>
      </text>
    </comment>
    <comment ref="A4" authorId="0" shapeId="0" xr:uid="{00000000-0006-0000-0500-000004000000}">
      <text>
        <r>
          <rPr>
            <b/>
            <sz val="9"/>
            <color indexed="81"/>
            <rFont val="Tahoma"/>
            <family val="2"/>
          </rPr>
          <t>PC_ADMON:</t>
        </r>
        <r>
          <rPr>
            <sz val="9"/>
            <color indexed="81"/>
            <rFont val="Tahoma"/>
            <family val="2"/>
          </rPr>
          <t xml:space="preserve">
EDITAR UNICAMENTE SI SE HACE NUEVO ACUERDO</t>
        </r>
      </text>
    </comment>
    <comment ref="A5" authorId="0" shapeId="0" xr:uid="{00000000-0006-0000-0500-000005000000}">
      <text>
        <r>
          <rPr>
            <b/>
            <sz val="9"/>
            <color indexed="81"/>
            <rFont val="Tahoma"/>
            <family val="2"/>
          </rPr>
          <t>PC_ADMON:</t>
        </r>
        <r>
          <rPr>
            <sz val="9"/>
            <color indexed="81"/>
            <rFont val="Tahoma"/>
            <family val="2"/>
          </rPr>
          <t xml:space="preserve">
EDITAR UNICAMENTE SI GERENCIA LO AUTORIZA</t>
        </r>
      </text>
    </comment>
  </commentList>
</comments>
</file>

<file path=xl/sharedStrings.xml><?xml version="1.0" encoding="utf-8"?>
<sst xmlns="http://schemas.openxmlformats.org/spreadsheetml/2006/main" count="433" uniqueCount="64">
  <si>
    <t>TASA C$ A $</t>
  </si>
  <si>
    <t>TASA $ A C$</t>
  </si>
  <si>
    <t>PAGO EP LIC.</t>
  </si>
  <si>
    <t>PAGO EP CLT.</t>
  </si>
  <si>
    <t>PAGO POR CONT NE</t>
  </si>
  <si>
    <t>TIPO DE SOBRANTE</t>
  </si>
  <si>
    <t>T/C COMPRA</t>
  </si>
  <si>
    <t>T/C VENTA</t>
  </si>
  <si>
    <t>N° CONTRATO</t>
  </si>
  <si>
    <t>FECHA</t>
  </si>
  <si>
    <t>MONTO CAMBIADO</t>
  </si>
  <si>
    <t>SOBRANTE</t>
  </si>
  <si>
    <t>Contrato privado &lt; 200 $</t>
  </si>
  <si>
    <t>Compra dólares</t>
  </si>
  <si>
    <t>Escritura Pública</t>
  </si>
  <si>
    <t>Contrato no entregado</t>
  </si>
  <si>
    <t>MONTO ENTREGADO A CLIENTE</t>
  </si>
  <si>
    <t>TIPOS DE SOBRANTES</t>
  </si>
  <si>
    <t>¿Cómo constatar los sobrantes por escrituras Públicas?</t>
  </si>
  <si>
    <t>¿Cómo constatar los sobrantes por Contrato no entregado?</t>
  </si>
  <si>
    <t>la Validación se realiza al finalizar la semana, para ello el cajero deberá presentar al auditor los contratos en fìsicos que han sido entregados a caja y ordenados en orden numérico ascendente, el auditor validará la secuencia de los contratos entregados y aquellos números que no estén en la secuencia, deberán estar en "Base S" reportados como contratos pagados por no haber sido entregados, a la vez el auditor deberà de tener el reporte de contratos cancelados del sistema para validar que la cantidad total de contratos que aparezaca en este reporte sea la misma que de al sumar los contratos que han sido entregados más los que aparecen en "Base S"</t>
  </si>
  <si>
    <t>NOMBRE</t>
  </si>
  <si>
    <t>USUARIO</t>
  </si>
  <si>
    <t>CONTRASEÑA</t>
  </si>
  <si>
    <t>JOSÉ ADILIO AGUIRRE JARQUÍN</t>
  </si>
  <si>
    <t>INELDA DEL CARMEN AGUIRRE JARQUÍN</t>
  </si>
  <si>
    <t>JUAN JOSÉ VILLAVICENCIO NAVARRO</t>
  </si>
  <si>
    <t>LEVI SEBASTIÁN GARCÍA PAVÓN</t>
  </si>
  <si>
    <t>GERENTE G</t>
  </si>
  <si>
    <t>GERENTE A</t>
  </si>
  <si>
    <t>ADMON</t>
  </si>
  <si>
    <t>CNTBLDD</t>
  </si>
  <si>
    <t>JAAJ</t>
  </si>
  <si>
    <t>ICAJ</t>
  </si>
  <si>
    <t>JJVN</t>
  </si>
  <si>
    <t>PERFIL</t>
  </si>
  <si>
    <t>USUARIO:</t>
  </si>
  <si>
    <t>Empeños y Prestamos S.A</t>
  </si>
  <si>
    <t>RUC: J0310000300895</t>
  </si>
  <si>
    <t>Firma de Cajer@</t>
  </si>
  <si>
    <t>Monto Recepcionado :</t>
  </si>
  <si>
    <t>Monto Cambiado :</t>
  </si>
  <si>
    <t>Reestructuración</t>
  </si>
  <si>
    <t>DESDE</t>
  </si>
  <si>
    <t>HASTA</t>
  </si>
  <si>
    <t>VALIDAR SOBRANTE DE LA SEMANA ENTRE</t>
  </si>
  <si>
    <t>Ingresar las Fechas enlas celdas repintadas en verde, al insertarlas hagalo normalmente en formato dd/mm/yyyy, automaticamente cambiarà de formato a mm/dd/yyyy sin afectar a lo demas.</t>
  </si>
  <si>
    <t>Fecha</t>
  </si>
  <si>
    <t>Tasa de Cambio:</t>
  </si>
  <si>
    <t>¿Cómo constatar los sobrantes por Contrato privado &lt; 250 $?</t>
  </si>
  <si>
    <t>la Validación se realiza al finalizar la semana, para ello se deberá Filtrar en "Base S" el tipo de sobrante, que en este caso es  "Escritura pùblica", la cantidad qua aparezca acá deberá de ser la misma cantidad de contratos deudor realizados en la semana  y con montos mayores a 250 dólares, este es el reporte que muestra el sistema en los contratos nuevos tipo "DEUDOR", el auditor deberà contar los contratos &gt; $250 de este reporte y deberá ser la misma cantidad reportada en "Base S".</t>
  </si>
  <si>
    <t>la Validación se realiza al finalizar la semana, para ello se deberá Filtrar en "Base S" el tipo de sobrante, que en este caso es  "Contrato privado &lt; 250 $", la cantidad qua aparezca acá deberá de ser la misma cantidad de contratos deudor realizados en la semana  y con montos menores a 250 dólares, este es el reporte que muestra el sistema en los contratos nuevos tipo "DEUDOR", el auditor deberà contar los contratos &lt; $250 de este reporte y deberá ser la misma cantidad reportada en "Base S".</t>
  </si>
  <si>
    <t>Entrega de Testimonio</t>
  </si>
  <si>
    <t>Contrato privado &lt; 250 $</t>
  </si>
  <si>
    <t>Resición de Compra-Venta</t>
  </si>
  <si>
    <t>EP 255</t>
  </si>
  <si>
    <t>En la tabla las celdas representadas de color verde en la columna sobrante son ingresos por cualquiera de los tipos, las que estan en rojo son egresos por distintas razones notificadas previamente a Gerencia.</t>
  </si>
  <si>
    <t>OBSER</t>
  </si>
  <si>
    <t>EN EL CIERRE DE  LA SEMANA ENTRE 16/11/20 HASTA 21/11/20, FALTAN LOS CONTRATOS DEUDORES: 4462,4885, 5281, 5856</t>
  </si>
  <si>
    <t>Recision de Compra Venta</t>
  </si>
  <si>
    <t>Cambio de dólares</t>
  </si>
  <si>
    <t>Pago a inss en dolares</t>
  </si>
  <si>
    <t>Total</t>
  </si>
  <si>
    <t>Compra chocolate profesora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</si>
</sst>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F800]dddd\,\ mmmm\ dd\,\ yyyy"/>
    <numFmt numFmtId="165" formatCode="[$-1540A]m/d/yyyy;@"/>
    <numFmt numFmtId="166" formatCode="[$-1540A]m/d/yy;@"/>
    <numFmt numFmtId="167" formatCode="_-[$$-540A]* #,##0.00_ ;_-[$$-540A]* \-#,##0.00\ ;_-[$$-540A]* &quot;-&quot;??_ ;_-@_ "/>
    <numFmt numFmtId="168" formatCode="_-[$C$-4C0A]* #,##0.00_-;\-[$C$-4C0A]* #,##0.00_-;_-[$C$-4C0A]* &quot;-&quot;??_-;_-@_-"/>
  </numFmts>
  <fonts count="8" x14ac:knownFonts="1">
    <font>
      <sz val="11"/>
      <color theme="1"/>
      <name val="Calibri"/>
      <family val="2"/>
      <scheme val="minor"/>
    </font>
    <font>
      <sz val="11"/>
      <color theme="1"/>
      <name val="Times New Roman"/>
      <family val="1"/>
    </font>
    <font>
      <sz val="9"/>
      <color indexed="81"/>
      <name val="Tahoma"/>
      <family val="2"/>
    </font>
    <font>
      <b/>
      <sz val="9"/>
      <color indexed="81"/>
      <name val="Tahoma"/>
      <family val="2"/>
    </font>
    <font>
      <sz val="8"/>
      <color rgb="FF000000"/>
      <name val="Times New Roman"/>
      <family val="1"/>
    </font>
    <font>
      <sz val="12"/>
      <color theme="1"/>
      <name val="Times New Roman"/>
      <family val="1"/>
    </font>
    <font>
      <b/>
      <sz val="16"/>
      <color theme="1"/>
      <name val="Times New Roman"/>
      <family val="1"/>
    </font>
    <font>
      <sz val="16"/>
      <color theme="1"/>
      <name val="Times New Roman"/>
      <family val="1"/>
    </font>
  </fonts>
  <fills count="8">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9" tint="0.59999389629810485"/>
        <bgColor theme="4" tint="0.79998168889431442"/>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right/>
      <top/>
      <bottom style="thin">
        <color indexed="64"/>
      </bottom>
      <diagonal/>
    </border>
  </borders>
  <cellStyleXfs count="1">
    <xf numFmtId="0" fontId="0" fillId="0" borderId="0"/>
  </cellStyleXfs>
  <cellXfs count="60">
    <xf numFmtId="0" fontId="0" fillId="0" borderId="0" xfId="0"/>
    <xf numFmtId="0" fontId="0" fillId="0" borderId="0" xfId="0" applyAlignment="1">
      <alignment horizontal="center" vertical="center" wrapText="1"/>
    </xf>
    <xf numFmtId="0" fontId="1" fillId="0" borderId="1" xfId="0" applyFont="1" applyBorder="1"/>
    <xf numFmtId="2" fontId="1" fillId="0" borderId="1" xfId="0" applyNumberFormat="1" applyFont="1" applyBorder="1"/>
    <xf numFmtId="14" fontId="0" fillId="0" borderId="0" xfId="0" applyNumberFormat="1"/>
    <xf numFmtId="2" fontId="1" fillId="3" borderId="1" xfId="0" applyNumberFormat="1" applyFont="1" applyFill="1" applyBorder="1"/>
    <xf numFmtId="0" fontId="1" fillId="2" borderId="2" xfId="0" applyFont="1" applyFill="1" applyBorder="1" applyAlignment="1">
      <alignment horizontal="center" vertical="center" wrapText="1"/>
    </xf>
    <xf numFmtId="164" fontId="0" fillId="0" borderId="0" xfId="0" applyNumberFormat="1"/>
    <xf numFmtId="165" fontId="0" fillId="0" borderId="0" xfId="0" applyNumberFormat="1"/>
    <xf numFmtId="166" fontId="1" fillId="2" borderId="2" xfId="0" applyNumberFormat="1" applyFont="1" applyFill="1" applyBorder="1" applyAlignment="1">
      <alignment horizontal="center" vertical="center" wrapText="1"/>
    </xf>
    <xf numFmtId="166" fontId="0" fillId="0" borderId="0" xfId="0" applyNumberFormat="1"/>
    <xf numFmtId="0" fontId="5" fillId="3" borderId="3" xfId="0" applyFont="1" applyFill="1" applyBorder="1"/>
    <xf numFmtId="0" fontId="5" fillId="0" borderId="0" xfId="0" applyFont="1"/>
    <xf numFmtId="0" fontId="5" fillId="4" borderId="4" xfId="0" applyFont="1" applyFill="1" applyBorder="1"/>
    <xf numFmtId="0" fontId="5" fillId="4" borderId="5" xfId="0" applyFont="1" applyFill="1" applyBorder="1"/>
    <xf numFmtId="0" fontId="5" fillId="4" borderId="6" xfId="0" applyFont="1" applyFill="1" applyBorder="1"/>
    <xf numFmtId="0" fontId="0" fillId="0" borderId="0" xfId="0" applyAlignment="1"/>
    <xf numFmtId="0" fontId="1" fillId="0" borderId="0" xfId="0" applyFont="1"/>
    <xf numFmtId="0" fontId="1" fillId="0" borderId="0" xfId="0" applyFont="1" applyAlignment="1">
      <alignment wrapText="1"/>
    </xf>
    <xf numFmtId="0" fontId="1" fillId="0" borderId="17" xfId="0" applyFont="1" applyBorder="1"/>
    <xf numFmtId="2" fontId="1" fillId="0" borderId="17" xfId="0" applyNumberFormat="1" applyFont="1" applyBorder="1"/>
    <xf numFmtId="0" fontId="1" fillId="0" borderId="1" xfId="0" applyFont="1" applyFill="1" applyBorder="1"/>
    <xf numFmtId="14" fontId="0" fillId="0" borderId="1" xfId="0" applyNumberFormat="1" applyBorder="1"/>
    <xf numFmtId="0" fontId="1" fillId="5" borderId="1" xfId="0" applyFont="1" applyFill="1" applyBorder="1" applyAlignment="1">
      <alignment horizontal="center"/>
    </xf>
    <xf numFmtId="0" fontId="1" fillId="0" borderId="0" xfId="0" applyFont="1" applyBorder="1" applyAlignment="1">
      <alignment textRotation="90"/>
    </xf>
    <xf numFmtId="14" fontId="1" fillId="0" borderId="0" xfId="0" applyNumberFormat="1" applyFont="1" applyBorder="1" applyAlignment="1">
      <alignment horizontal="center" vertical="top" textRotation="90"/>
    </xf>
    <xf numFmtId="14" fontId="1" fillId="0" borderId="0" xfId="0" applyNumberFormat="1" applyFont="1" applyBorder="1" applyAlignment="1">
      <alignment horizontal="center" vertical="center" textRotation="90"/>
    </xf>
    <xf numFmtId="168" fontId="1" fillId="0" borderId="0" xfId="0" applyNumberFormat="1" applyFont="1" applyBorder="1" applyAlignment="1" applyProtection="1">
      <alignment vertical="top" textRotation="90" wrapText="1"/>
    </xf>
    <xf numFmtId="168" fontId="1" fillId="0" borderId="0" xfId="0" applyNumberFormat="1" applyFont="1" applyBorder="1" applyAlignment="1">
      <alignment horizontal="center" textRotation="90"/>
    </xf>
    <xf numFmtId="167" fontId="1" fillId="0" borderId="0" xfId="0" applyNumberFormat="1" applyFont="1" applyBorder="1" applyAlignment="1">
      <alignment horizontal="center" textRotation="90"/>
    </xf>
    <xf numFmtId="0" fontId="0" fillId="0" borderId="18" xfId="0" applyBorder="1"/>
    <xf numFmtId="0" fontId="1" fillId="0" borderId="16" xfId="0" applyFont="1" applyBorder="1" applyAlignment="1">
      <alignment horizontal="left" vertical="center" textRotation="90" wrapText="1"/>
    </xf>
    <xf numFmtId="168" fontId="0" fillId="0" borderId="0" xfId="0" applyNumberFormat="1"/>
    <xf numFmtId="168" fontId="1" fillId="2" borderId="2" xfId="0" applyNumberFormat="1" applyFont="1" applyFill="1" applyBorder="1" applyAlignment="1">
      <alignment horizontal="center" vertical="center" wrapText="1"/>
    </xf>
    <xf numFmtId="168" fontId="1" fillId="0" borderId="0" xfId="0" applyNumberFormat="1" applyFont="1"/>
    <xf numFmtId="166" fontId="1" fillId="0" borderId="0" xfId="0" applyNumberFormat="1" applyFont="1"/>
    <xf numFmtId="166" fontId="1" fillId="7" borderId="1" xfId="0" applyNumberFormat="1" applyFont="1" applyFill="1" applyBorder="1"/>
    <xf numFmtId="0" fontId="1" fillId="0" borderId="0" xfId="0" applyFont="1" applyAlignment="1">
      <alignment horizontal="center" vertical="center" wrapText="1"/>
    </xf>
    <xf numFmtId="0" fontId="1" fillId="0" borderId="0" xfId="0" applyFont="1" applyAlignment="1">
      <alignment horizontal="right"/>
    </xf>
    <xf numFmtId="167" fontId="1" fillId="0" borderId="0" xfId="0" applyNumberFormat="1" applyFont="1"/>
    <xf numFmtId="167" fontId="1" fillId="2" borderId="2" xfId="0" applyNumberFormat="1" applyFont="1" applyFill="1" applyBorder="1" applyAlignment="1">
      <alignment horizontal="center" vertical="center" wrapText="1"/>
    </xf>
    <xf numFmtId="167" fontId="0" fillId="0" borderId="0" xfId="0" applyNumberFormat="1"/>
    <xf numFmtId="168" fontId="1" fillId="0" borderId="0" xfId="0" applyNumberFormat="1" applyFont="1" applyFill="1"/>
    <xf numFmtId="0" fontId="1" fillId="3" borderId="0" xfId="0" applyFont="1" applyFill="1"/>
    <xf numFmtId="0" fontId="1" fillId="0" borderId="0" xfId="0" applyFont="1" applyAlignment="1">
      <alignment horizontal="center" vertical="center" wrapText="1"/>
    </xf>
    <xf numFmtId="0" fontId="1" fillId="6" borderId="1" xfId="0" applyFont="1" applyFill="1" applyBorder="1" applyAlignment="1">
      <alignment horizontal="center" wrapText="1"/>
    </xf>
    <xf numFmtId="0" fontId="1" fillId="3" borderId="1" xfId="0" applyFont="1" applyFill="1" applyBorder="1" applyAlignment="1">
      <alignment horizontal="center" vertical="center" wrapText="1"/>
    </xf>
    <xf numFmtId="0" fontId="7" fillId="4" borderId="7" xfId="0" applyFont="1" applyFill="1" applyBorder="1" applyAlignment="1">
      <alignment horizontal="center" vertical="center" wrapText="1"/>
    </xf>
    <xf numFmtId="0" fontId="7" fillId="4" borderId="8" xfId="0" applyFont="1" applyFill="1" applyBorder="1" applyAlignment="1">
      <alignment horizontal="center" vertical="center" wrapText="1"/>
    </xf>
    <xf numFmtId="0" fontId="7" fillId="4" borderId="9" xfId="0" applyFont="1" applyFill="1" applyBorder="1" applyAlignment="1">
      <alignment horizontal="center" vertical="center" wrapText="1"/>
    </xf>
    <xf numFmtId="0" fontId="7" fillId="4" borderId="1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7" fillId="4" borderId="11" xfId="0" applyFont="1" applyFill="1" applyBorder="1" applyAlignment="1">
      <alignment horizontal="center" vertical="center" wrapText="1"/>
    </xf>
    <xf numFmtId="0" fontId="7" fillId="4" borderId="12" xfId="0" applyFont="1" applyFill="1" applyBorder="1" applyAlignment="1">
      <alignment horizontal="center" vertical="center" wrapText="1"/>
    </xf>
    <xf numFmtId="0" fontId="7" fillId="4" borderId="13" xfId="0" applyFont="1" applyFill="1" applyBorder="1" applyAlignment="1">
      <alignment horizontal="center" vertical="center" wrapText="1"/>
    </xf>
    <xf numFmtId="0" fontId="7" fillId="4" borderId="14" xfId="0" applyFont="1" applyFill="1" applyBorder="1" applyAlignment="1">
      <alignment horizontal="center" vertical="center" wrapText="1"/>
    </xf>
    <xf numFmtId="0" fontId="6" fillId="3" borderId="0" xfId="0" applyFont="1" applyFill="1" applyBorder="1" applyAlignment="1">
      <alignment horizontal="center"/>
    </xf>
    <xf numFmtId="0" fontId="1" fillId="0" borderId="0" xfId="0" applyFont="1" applyBorder="1" applyAlignment="1">
      <alignment horizontal="center" vertical="center" textRotation="90" wrapText="1"/>
    </xf>
    <xf numFmtId="0" fontId="1" fillId="0" borderId="0" xfId="0" applyFont="1" applyBorder="1" applyAlignment="1">
      <alignment horizontal="center" vertical="center" textRotation="90"/>
    </xf>
    <xf numFmtId="0" fontId="1" fillId="0" borderId="15" xfId="0" applyFont="1" applyBorder="1" applyAlignment="1">
      <alignment horizontal="left" vertical="center" textRotation="90" wrapText="1"/>
    </xf>
  </cellXfs>
  <cellStyles count="1">
    <cellStyle name="Normal" xfId="0" builtinId="0"/>
  </cellStyles>
  <dxfs count="58">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numFmt numFmtId="168" formatCode="_-[$C$-4C0A]* #,##0.00_-;\-[$C$-4C0A]* #,##0.00_-;_-[$C$-4C0A]* &quot;-&quot;??_-;_-@_-"/>
    </dxf>
    <dxf>
      <font>
        <strike val="0"/>
        <outline val="0"/>
        <shadow val="0"/>
        <u val="none"/>
        <vertAlign val="baseline"/>
        <sz val="11"/>
        <color theme="1"/>
        <name val="Times New Roman"/>
        <family val="1"/>
        <scheme val="none"/>
      </font>
      <numFmt numFmtId="168" formatCode="_-[$C$-4C0A]* #,##0.00_-;\-[$C$-4C0A]* #,##0.00_-;_-[$C$-4C0A]* &quot;-&quot;??_-;_-@_-"/>
    </dxf>
    <dxf>
      <font>
        <b val="0"/>
        <i val="0"/>
        <strike val="0"/>
        <condense val="0"/>
        <extend val="0"/>
        <outline val="0"/>
        <shadow val="0"/>
        <u val="none"/>
        <vertAlign val="baseline"/>
        <sz val="11"/>
        <color theme="1"/>
        <name val="Times New Roman"/>
        <family val="1"/>
        <scheme val="none"/>
      </font>
      <numFmt numFmtId="168" formatCode="_-[$C$-4C0A]* #,##0.00_-;\-[$C$-4C0A]* #,##0.00_-;_-[$C$-4C0A]* &quot;-&quot;??_-;_-@_-"/>
    </dxf>
    <dxf>
      <font>
        <strike val="0"/>
        <outline val="0"/>
        <shadow val="0"/>
        <u val="none"/>
        <vertAlign val="baseline"/>
        <sz val="11"/>
        <color theme="1"/>
        <name val="Times New Roman"/>
        <family val="1"/>
        <scheme val="none"/>
      </font>
      <numFmt numFmtId="168" formatCode="_-[$C$-4C0A]* #,##0.00_-;\-[$C$-4C0A]* #,##0.00_-;_-[$C$-4C0A]* &quot;-&quot;??_-;_-@_-"/>
    </dxf>
    <dxf>
      <font>
        <b val="0"/>
        <i val="0"/>
        <strike val="0"/>
        <condense val="0"/>
        <extend val="0"/>
        <outline val="0"/>
        <shadow val="0"/>
        <u val="none"/>
        <vertAlign val="baseline"/>
        <sz val="11"/>
        <color theme="1"/>
        <name val="Times New Roman"/>
        <family val="1"/>
        <scheme val="none"/>
      </font>
      <numFmt numFmtId="167" formatCode="_-[$$-540A]* #,##0.00_ ;_-[$$-540A]* \-#,##0.00\ ;_-[$$-540A]* &quot;-&quot;??_ ;_-@_ "/>
    </dxf>
    <dxf>
      <font>
        <strike val="0"/>
        <outline val="0"/>
        <shadow val="0"/>
        <u val="none"/>
        <vertAlign val="baseline"/>
        <sz val="11"/>
        <color theme="1"/>
        <name val="Times New Roman"/>
        <family val="1"/>
        <scheme val="none"/>
      </font>
      <numFmt numFmtId="167" formatCode="_-[$$-540A]* #,##0.00_ ;_-[$$-540A]* \-#,##0.00\ ;_-[$$-540A]* &quot;-&quot;??_ ;_-@_ "/>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numFmt numFmtId="166" formatCode="[$-1540A]m/d/yy;@"/>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numFmt numFmtId="168" formatCode="_-[$C$-4C0A]* #,##0.00_-;\-[$C$-4C0A]* #,##0.00_-;_-[$C$-4C0A]* &quot;-&quot;??_-;_-@_-"/>
    </dxf>
    <dxf>
      <font>
        <strike val="0"/>
        <outline val="0"/>
        <shadow val="0"/>
        <u val="none"/>
        <vertAlign val="baseline"/>
        <sz val="11"/>
        <color theme="1"/>
        <name val="Times New Roman"/>
        <family val="1"/>
        <scheme val="none"/>
      </font>
      <numFmt numFmtId="168" formatCode="_-[$C$-4C0A]* #,##0.00_-;\-[$C$-4C0A]* #,##0.00_-;_-[$C$-4C0A]* &quot;-&quot;??_-;_-@_-"/>
    </dxf>
    <dxf>
      <font>
        <b val="0"/>
        <i val="0"/>
        <strike val="0"/>
        <condense val="0"/>
        <extend val="0"/>
        <outline val="0"/>
        <shadow val="0"/>
        <u val="none"/>
        <vertAlign val="baseline"/>
        <sz val="11"/>
        <color theme="1"/>
        <name val="Times New Roman"/>
        <family val="1"/>
        <scheme val="none"/>
      </font>
      <numFmt numFmtId="168" formatCode="_-[$C$-4C0A]* #,##0.00_-;\-[$C$-4C0A]* #,##0.00_-;_-[$C$-4C0A]* &quot;-&quot;??_-;_-@_-"/>
    </dxf>
    <dxf>
      <font>
        <strike val="0"/>
        <outline val="0"/>
        <shadow val="0"/>
        <u val="none"/>
        <vertAlign val="baseline"/>
        <sz val="11"/>
        <color theme="1"/>
        <name val="Times New Roman"/>
        <family val="1"/>
        <scheme val="none"/>
      </font>
      <numFmt numFmtId="168" formatCode="_-[$C$-4C0A]* #,##0.00_-;\-[$C$-4C0A]* #,##0.00_-;_-[$C$-4C0A]* &quot;-&quot;??_-;_-@_-"/>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border outline="0">
        <top style="thin">
          <color indexed="64"/>
        </top>
      </border>
    </dxf>
    <dxf>
      <font>
        <strike val="0"/>
        <outline val="0"/>
        <shadow val="0"/>
        <u val="none"/>
        <vertAlign val="baseline"/>
        <sz val="11"/>
        <color theme="1"/>
        <name val="Times New Roman"/>
        <family val="1"/>
        <scheme val="none"/>
      </font>
    </dxf>
    <dxf>
      <border outline="0">
        <bottom style="thin">
          <color indexed="64"/>
        </bottom>
      </border>
    </dxf>
    <dxf>
      <font>
        <b val="0"/>
        <i val="0"/>
        <strike val="0"/>
        <condense val="0"/>
        <extend val="0"/>
        <outline val="0"/>
        <shadow val="0"/>
        <u val="none"/>
        <vertAlign val="baseline"/>
        <sz val="11"/>
        <color theme="1"/>
        <name val="Times New Roman"/>
        <family val="1"/>
        <scheme val="none"/>
      </font>
      <fill>
        <patternFill patternType="solid">
          <fgColor indexed="64"/>
          <bgColor theme="4"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5"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5" tint="0.59996337778862885"/>
        </patternFill>
      </fill>
    </dxf>
    <dxf>
      <fill>
        <patternFill>
          <bgColor theme="9" tint="0.59996337778862885"/>
        </patternFill>
      </fill>
    </dxf>
    <dxf>
      <fill>
        <patternFill>
          <bgColor theme="5" tint="0.59996337778862885"/>
        </patternFill>
      </fill>
    </dxf>
    <dxf>
      <fill>
        <patternFill>
          <bgColor theme="5" tint="0.59996337778862885"/>
        </patternFill>
      </fill>
    </dxf>
    <dxf>
      <fill>
        <patternFill>
          <bgColor theme="9" tint="0.59996337778862885"/>
        </patternFill>
      </fill>
    </dxf>
  </dxfs>
  <tableStyles count="0" defaultTableStyle="TableStyleMedium2" defaultPivotStyle="PivotStyleLight16"/>
  <colors>
    <mruColors>
      <color rgb="FFA94D0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4" Type="http://schemas.microsoft.com/office/2007/relationships/hdphoto" Target="../media/hdphoto2.wdp"/></Relationships>
</file>

<file path=xl/drawings/_rels/drawing3.xml.rels><?xml version="1.0" encoding="UTF-8" standalone="yes"?>
<Relationships xmlns="http://schemas.openxmlformats.org/package/2006/relationships"><Relationship Id="rId1" Type="http://schemas.openxmlformats.org/officeDocument/2006/relationships/hyperlink" Target="#INICIO!A1"/></Relationships>
</file>

<file path=xl/drawings/drawing1.xml><?xml version="1.0" encoding="utf-8"?>
<xdr:wsDr xmlns:xdr="http://schemas.openxmlformats.org/drawingml/2006/spreadsheetDrawing" xmlns:a="http://schemas.openxmlformats.org/drawingml/2006/main">
  <xdr:twoCellAnchor editAs="oneCell">
    <xdr:from>
      <xdr:col>0</xdr:col>
      <xdr:colOff>230433</xdr:colOff>
      <xdr:row>12</xdr:row>
      <xdr:rowOff>30692</xdr:rowOff>
    </xdr:from>
    <xdr:to>
      <xdr:col>2</xdr:col>
      <xdr:colOff>542358</xdr:colOff>
      <xdr:row>22</xdr:row>
      <xdr:rowOff>114017</xdr:rowOff>
    </xdr:to>
    <xdr:pic macro="[0]!INSERTAR_SOBRA">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saturation sat="400000"/>
                  </a14:imgEffect>
                  <a14:imgEffect>
                    <a14:brightnessContrast contrast="-40000"/>
                  </a14:imgEffect>
                </a14:imgLayer>
              </a14:imgProps>
            </a:ext>
            <a:ext uri="{28A0092B-C50C-407E-A947-70E740481C1C}">
              <a14:useLocalDpi xmlns:a14="http://schemas.microsoft.com/office/drawing/2010/main" val="0"/>
            </a:ext>
          </a:extLst>
        </a:blip>
        <a:stretch>
          <a:fillRect/>
        </a:stretch>
      </xdr:blipFill>
      <xdr:spPr>
        <a:xfrm>
          <a:off x="230433" y="2316692"/>
          <a:ext cx="1984092" cy="1988325"/>
        </a:xfrm>
        <a:prstGeom prst="rect">
          <a:avLst/>
        </a:prstGeom>
      </xdr:spPr>
    </xdr:pic>
    <xdr:clientData/>
  </xdr:twoCellAnchor>
  <xdr:twoCellAnchor>
    <xdr:from>
      <xdr:col>0</xdr:col>
      <xdr:colOff>84667</xdr:colOff>
      <xdr:row>22</xdr:row>
      <xdr:rowOff>98425</xdr:rowOff>
    </xdr:from>
    <xdr:to>
      <xdr:col>3</xdr:col>
      <xdr:colOff>122767</xdr:colOff>
      <xdr:row>24</xdr:row>
      <xdr:rowOff>3175</xdr:rowOff>
    </xdr:to>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84667" y="4289425"/>
          <a:ext cx="25463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NI" sz="1100">
              <a:latin typeface="Times New Roman" panose="02020603050405020304" pitchFamily="18" charset="0"/>
              <a:cs typeface="Times New Roman" panose="02020603050405020304" pitchFamily="18" charset="0"/>
            </a:rPr>
            <a:t>INSERTAR SOBRANTE</a:t>
          </a:r>
          <a:endParaRPr lang="es-NI" sz="1100" baseline="0">
            <a:latin typeface="Times New Roman" panose="02020603050405020304" pitchFamily="18" charset="0"/>
            <a:cs typeface="Times New Roman" panose="02020603050405020304" pitchFamily="18" charset="0"/>
          </a:endParaRPr>
        </a:p>
        <a:p>
          <a:pPr algn="ctr"/>
          <a:endParaRPr lang="es-NI" sz="1100">
            <a:latin typeface="Times New Roman" panose="02020603050405020304" pitchFamily="18" charset="0"/>
            <a:cs typeface="Times New Roman" panose="02020603050405020304" pitchFamily="18" charset="0"/>
          </a:endParaRPr>
        </a:p>
      </xdr:txBody>
    </xdr:sp>
    <xdr:clientData/>
  </xdr:twoCellAnchor>
  <xdr:twoCellAnchor editAs="oneCell">
    <xdr:from>
      <xdr:col>3</xdr:col>
      <xdr:colOff>200026</xdr:colOff>
      <xdr:row>0</xdr:row>
      <xdr:rowOff>0</xdr:rowOff>
    </xdr:from>
    <xdr:to>
      <xdr:col>12</xdr:col>
      <xdr:colOff>338668</xdr:colOff>
      <xdr:row>31</xdr:row>
      <xdr:rowOff>158750</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rcRect l="19916" t="7228" r="23521" b="13121"/>
        <a:stretch/>
      </xdr:blipFill>
      <xdr:spPr>
        <a:xfrm>
          <a:off x="2708276" y="0"/>
          <a:ext cx="7663392" cy="6064250"/>
        </a:xfrm>
        <a:prstGeom prst="rect">
          <a:avLst/>
        </a:prstGeom>
      </xdr:spPr>
    </xdr:pic>
    <xdr:clientData/>
  </xdr:twoCellAnchor>
  <xdr:twoCellAnchor>
    <xdr:from>
      <xdr:col>0</xdr:col>
      <xdr:colOff>171450</xdr:colOff>
      <xdr:row>9</xdr:row>
      <xdr:rowOff>114299</xdr:rowOff>
    </xdr:from>
    <xdr:to>
      <xdr:col>3</xdr:col>
      <xdr:colOff>209550</xdr:colOff>
      <xdr:row>13</xdr:row>
      <xdr:rowOff>66674</xdr:rowOff>
    </xdr:to>
    <xdr:sp macro="[0]!BUSC" textlink="">
      <xdr:nvSpPr>
        <xdr:cNvPr id="8" name="CuadroTexto 7">
          <a:extLst>
            <a:ext uri="{FF2B5EF4-FFF2-40B4-BE49-F238E27FC236}">
              <a16:creationId xmlns:a16="http://schemas.microsoft.com/office/drawing/2014/main" id="{00000000-0008-0000-0000-000008000000}"/>
            </a:ext>
          </a:extLst>
        </xdr:cNvPr>
        <xdr:cNvSpPr txBox="1"/>
      </xdr:nvSpPr>
      <xdr:spPr>
        <a:xfrm>
          <a:off x="171450" y="1828799"/>
          <a:ext cx="2552700"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NI" sz="1100" baseline="0">
              <a:latin typeface="Times New Roman" panose="02020603050405020304" pitchFamily="18" charset="0"/>
              <a:cs typeface="Times New Roman" panose="02020603050405020304" pitchFamily="18" charset="0"/>
            </a:rPr>
            <a:t>IR A:</a:t>
          </a:r>
        </a:p>
        <a:p>
          <a:pPr algn="ctr"/>
          <a:endParaRPr lang="es-NI" sz="1100" baseline="0">
            <a:latin typeface="Times New Roman" panose="02020603050405020304" pitchFamily="18" charset="0"/>
            <a:cs typeface="Times New Roman" panose="02020603050405020304" pitchFamily="18" charset="0"/>
          </a:endParaRPr>
        </a:p>
        <a:p>
          <a:pPr algn="ctr"/>
          <a:endParaRPr lang="es-NI" sz="1100">
            <a:latin typeface="Times New Roman" panose="02020603050405020304" pitchFamily="18" charset="0"/>
            <a:cs typeface="Times New Roman" panose="02020603050405020304" pitchFamily="18" charset="0"/>
          </a:endParaRPr>
        </a:p>
      </xdr:txBody>
    </xdr:sp>
    <xdr:clientData/>
  </xdr:twoCellAnchor>
  <xdr:twoCellAnchor>
    <xdr:from>
      <xdr:col>0</xdr:col>
      <xdr:colOff>772584</xdr:colOff>
      <xdr:row>2</xdr:row>
      <xdr:rowOff>0</xdr:rowOff>
    </xdr:from>
    <xdr:to>
      <xdr:col>2</xdr:col>
      <xdr:colOff>391583</xdr:colOff>
      <xdr:row>9</xdr:row>
      <xdr:rowOff>137583</xdr:rowOff>
    </xdr:to>
    <xdr:sp macro="[0]!BUSC" textlink="">
      <xdr:nvSpPr>
        <xdr:cNvPr id="7" name="Flecha cuádruple 6">
          <a:extLst>
            <a:ext uri="{FF2B5EF4-FFF2-40B4-BE49-F238E27FC236}">
              <a16:creationId xmlns:a16="http://schemas.microsoft.com/office/drawing/2014/main" id="{00000000-0008-0000-0000-000007000000}"/>
            </a:ext>
          </a:extLst>
        </xdr:cNvPr>
        <xdr:cNvSpPr/>
      </xdr:nvSpPr>
      <xdr:spPr>
        <a:xfrm>
          <a:off x="772584" y="381000"/>
          <a:ext cx="1291166" cy="1471083"/>
        </a:xfrm>
        <a:prstGeom prst="quadArrow">
          <a:avLst/>
        </a:prstGeom>
        <a:solidFill>
          <a:srgbClr val="A94D0F"/>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123825</xdr:colOff>
          <xdr:row>0</xdr:row>
          <xdr:rowOff>466725</xdr:rowOff>
        </xdr:from>
        <xdr:to>
          <xdr:col>10</xdr:col>
          <xdr:colOff>723900</xdr:colOff>
          <xdr:row>0</xdr:row>
          <xdr:rowOff>838200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NI" sz="800" b="0" i="0" u="none" strike="noStrike" baseline="0">
                  <a:solidFill>
                    <a:srgbClr val="000000"/>
                  </a:solidFill>
                  <a:latin typeface="Times New Roman"/>
                  <a:cs typeface="Times New Roman"/>
                </a:rPr>
                <a:t>VER TOTALES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114300</xdr:colOff>
          <xdr:row>0</xdr:row>
          <xdr:rowOff>457200</xdr:rowOff>
        </xdr:from>
        <xdr:to>
          <xdr:col>11</xdr:col>
          <xdr:colOff>714375</xdr:colOff>
          <xdr:row>0</xdr:row>
          <xdr:rowOff>828675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NI" sz="800" b="0" i="0" u="none" strike="noStrike" baseline="0">
                  <a:solidFill>
                    <a:srgbClr val="000000"/>
                  </a:solidFill>
                  <a:latin typeface="Times New Roman"/>
                  <a:cs typeface="Times New Roman"/>
                </a:rPr>
                <a:t>QUITAR TOTALES</a:t>
              </a:r>
            </a:p>
          </xdr:txBody>
        </xdr:sp>
        <xdr:clientData fPrintsWithSheet="0"/>
      </xdr:twoCellAnchor>
    </mc:Choice>
    <mc:Fallback/>
  </mc:AlternateContent>
  <xdr:twoCellAnchor>
    <xdr:from>
      <xdr:col>11</xdr:col>
      <xdr:colOff>27780</xdr:colOff>
      <xdr:row>3</xdr:row>
      <xdr:rowOff>30429</xdr:rowOff>
    </xdr:from>
    <xdr:to>
      <xdr:col>11</xdr:col>
      <xdr:colOff>787134</xdr:colOff>
      <xdr:row>3</xdr:row>
      <xdr:rowOff>502709</xdr:rowOff>
    </xdr:to>
    <xdr:sp macro="[0]!INICIO" textlink="">
      <xdr:nvSpPr>
        <xdr:cNvPr id="5" name="Rectángulo redondeado 4">
          <a:extLst>
            <a:ext uri="{FF2B5EF4-FFF2-40B4-BE49-F238E27FC236}">
              <a16:creationId xmlns:a16="http://schemas.microsoft.com/office/drawing/2014/main" id="{00000000-0008-0000-0100-000005000000}"/>
            </a:ext>
          </a:extLst>
        </xdr:cNvPr>
        <xdr:cNvSpPr/>
      </xdr:nvSpPr>
      <xdr:spPr>
        <a:xfrm>
          <a:off x="14434343" y="1352023"/>
          <a:ext cx="759354" cy="47228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a:sp3d>
        </a:bodyPr>
        <a:lstStyle/>
        <a:p>
          <a:pPr algn="ctr"/>
          <a:r>
            <a:rPr lang="es-ES" sz="800" b="1" cap="none" spc="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VOLVER</a:t>
          </a:r>
          <a:r>
            <a:rPr lang="es-ES" sz="800" b="1" cap="none" spc="0" baseline="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 A INICIO</a:t>
          </a:r>
          <a:endParaRPr lang="es-ES" sz="800" b="1" cap="none" spc="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absolute">
        <xdr:from>
          <xdr:col>2</xdr:col>
          <xdr:colOff>133350</xdr:colOff>
          <xdr:row>1</xdr:row>
          <xdr:rowOff>47625</xdr:rowOff>
        </xdr:from>
        <xdr:to>
          <xdr:col>3</xdr:col>
          <xdr:colOff>495300</xdr:colOff>
          <xdr:row>2</xdr:row>
          <xdr:rowOff>152400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NI" sz="800" b="0" i="0" u="none" strike="noStrike" baseline="0">
                  <a:solidFill>
                    <a:srgbClr val="000000"/>
                  </a:solidFill>
                  <a:latin typeface="Times New Roman"/>
                  <a:cs typeface="Times New Roman"/>
                </a:rPr>
                <a:t>FILTRAR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123825</xdr:colOff>
      <xdr:row>1</xdr:row>
      <xdr:rowOff>0</xdr:rowOff>
    </xdr:from>
    <xdr:to>
      <xdr:col>5</xdr:col>
      <xdr:colOff>66675</xdr:colOff>
      <xdr:row>2</xdr:row>
      <xdr:rowOff>161925</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2800350" y="209550"/>
          <a:ext cx="2457450" cy="361950"/>
        </a:xfrm>
        <a:prstGeom prst="roundRect">
          <a:avLst/>
        </a:prstGeom>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NI" sz="1800">
              <a:latin typeface="Times New Roman" panose="02020603050405020304" pitchFamily="18" charset="0"/>
              <a:cs typeface="Times New Roman" panose="02020603050405020304" pitchFamily="18" charset="0"/>
            </a:rPr>
            <a:t>Regresar</a:t>
          </a:r>
          <a:r>
            <a:rPr lang="es-NI" sz="1800" baseline="0">
              <a:latin typeface="Times New Roman" panose="02020603050405020304" pitchFamily="18" charset="0"/>
              <a:cs typeface="Times New Roman" panose="02020603050405020304" pitchFamily="18" charset="0"/>
            </a:rPr>
            <a:t> a "INICIO</a:t>
          </a:r>
          <a:r>
            <a:rPr lang="es-NI" sz="2000" baseline="0">
              <a:latin typeface="Times New Roman" panose="02020603050405020304" pitchFamily="18" charset="0"/>
              <a:cs typeface="Times New Roman" panose="02020603050405020304" pitchFamily="18" charset="0"/>
            </a:rPr>
            <a:t>"</a:t>
          </a:r>
          <a:endParaRPr lang="es-NI" sz="1100">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104775</xdr:colOff>
      <xdr:row>5</xdr:row>
      <xdr:rowOff>152400</xdr:rowOff>
    </xdr:from>
    <xdr:to>
      <xdr:col>5</xdr:col>
      <xdr:colOff>57150</xdr:colOff>
      <xdr:row>7</xdr:row>
      <xdr:rowOff>504825</xdr:rowOff>
    </xdr:to>
    <xdr:sp macro="[0]!INICIO" textlink="">
      <xdr:nvSpPr>
        <xdr:cNvPr id="2" name="Rectángulo redondeado 1">
          <a:extLst>
            <a:ext uri="{FF2B5EF4-FFF2-40B4-BE49-F238E27FC236}">
              <a16:creationId xmlns:a16="http://schemas.microsoft.com/office/drawing/2014/main" id="{00000000-0008-0000-0300-000002000000}"/>
            </a:ext>
          </a:extLst>
        </xdr:cNvPr>
        <xdr:cNvSpPr/>
      </xdr:nvSpPr>
      <xdr:spPr>
        <a:xfrm>
          <a:off x="695325" y="2514600"/>
          <a:ext cx="1123950" cy="73342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a:sp3d>
        </a:bodyPr>
        <a:lstStyle/>
        <a:p>
          <a:pPr algn="ctr"/>
          <a:r>
            <a:rPr lang="es-ES" sz="1200" b="1" cap="none" spc="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VOLVER</a:t>
          </a:r>
          <a:r>
            <a:rPr lang="es-ES" sz="1200" b="1" cap="none" spc="0" baseline="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 A INICIO</a:t>
          </a:r>
          <a:endParaRPr lang="es-ES" sz="1200" b="1" cap="none" spc="0">
            <a:ln w="0"/>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OBRANTE" displayName="SOBRANTE" ref="A4:J189" totalsRowCount="1" headerRowDxfId="24" dataDxfId="22" totalsRowDxfId="20" headerRowBorderDxfId="23" tableBorderDxfId="21">
  <autoFilter ref="A4:J188" xr:uid="{00000000-0009-0000-0100-000001000000}">
    <filterColumn colId="4">
      <filters calendarType="gregorian">
        <dateGroupItem year="2021" month="2" day="10" dateTimeGrouping="day"/>
        <dateGroupItem year="2021" month="2" day="11" dateTimeGrouping="day"/>
        <dateGroupItem year="2021" month="2" day="12" dateTimeGrouping="day"/>
        <dateGroupItem year="2021" month="2" day="13" dateTimeGrouping="day"/>
        <dateGroupItem year="2021" month="2" day="15" dateTimeGrouping="day"/>
        <dateGroupItem year="2021" month="2" day="17" dateTimeGrouping="day"/>
        <dateGroupItem year="2021" month="2" day="18" dateTimeGrouping="day"/>
        <dateGroupItem year="2021" month="2" day="19" dateTimeGrouping="day"/>
        <dateGroupItem year="2021" month="2" day="20" dateTimeGrouping="day"/>
        <dateGroupItem year="2021" month="2" day="22" dateTimeGrouping="day"/>
        <dateGroupItem year="2021" month="2" day="23" dateTimeGrouping="day"/>
        <dateGroupItem year="2021" month="2" day="26" dateTimeGrouping="day"/>
        <dateGroupItem year="2021" month="3" dateTimeGrouping="month"/>
      </filters>
    </filterColumn>
  </autoFilter>
  <sortState xmlns:xlrd2="http://schemas.microsoft.com/office/spreadsheetml/2017/richdata2" ref="A44:J62">
    <sortCondition ref="E4:E62"/>
  </sortState>
  <tableColumns count="10">
    <tableColumn id="1" xr3:uid="{00000000-0010-0000-0000-000001000000}" name="TIPO DE SOBRANTE" totalsRowLabel="Total" dataDxfId="19" totalsRowDxfId="18"/>
    <tableColumn id="2" xr3:uid="{00000000-0010-0000-0000-000002000000}" name="T/C COMPRA" dataDxfId="17" totalsRowDxfId="16"/>
    <tableColumn id="3" xr3:uid="{00000000-0010-0000-0000-000003000000}" name="T/C VENTA" dataDxfId="15" totalsRowDxfId="14"/>
    <tableColumn id="4" xr3:uid="{00000000-0010-0000-0000-000004000000}" name="N° CONTRATO" dataDxfId="13" totalsRowDxfId="12"/>
    <tableColumn id="5" xr3:uid="{00000000-0010-0000-0000-000005000000}" name="FECHA" totalsRowFunction="count" dataDxfId="11" totalsRowDxfId="10"/>
    <tableColumn id="6" xr3:uid="{00000000-0010-0000-0000-000006000000}" name="MONTO CAMBIADO" dataDxfId="9" totalsRowDxfId="8"/>
    <tableColumn id="7" xr3:uid="{00000000-0010-0000-0000-000007000000}" name="MONTO ENTREGADO A CLIENTE" dataDxfId="7" totalsRowDxfId="6"/>
    <tableColumn id="8" xr3:uid="{00000000-0010-0000-0000-000008000000}" name="SOBRANTE" totalsRowFunction="sum" dataDxfId="5" totalsRowDxfId="4"/>
    <tableColumn id="9" xr3:uid="{00000000-0010-0000-0000-000009000000}" name="USUARIO" dataDxfId="3" totalsRowDxfId="2"/>
    <tableColumn id="10" xr3:uid="{00000000-0010-0000-0000-00000A000000}" name="OBSER" dataDxfId="1" totalsRow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E7"/>
  <sheetViews>
    <sheetView showGridLines="0" showRowColHeaders="0" zoomScale="90" zoomScaleNormal="90" workbookViewId="0">
      <selection activeCell="R4" sqref="R4"/>
    </sheetView>
  </sheetViews>
  <sheetFormatPr baseColWidth="10" defaultRowHeight="15" x14ac:dyDescent="0.25"/>
  <sheetData>
    <row r="1" spans="1:5" x14ac:dyDescent="0.25">
      <c r="A1" s="16" t="s">
        <v>36</v>
      </c>
      <c r="B1" s="16" t="s">
        <v>30</v>
      </c>
      <c r="C1" s="16"/>
    </row>
    <row r="2" spans="1:5" x14ac:dyDescent="0.25">
      <c r="E2" s="4"/>
    </row>
    <row r="3" spans="1:5" x14ac:dyDescent="0.25">
      <c r="A3" s="4"/>
    </row>
    <row r="4" spans="1:5" x14ac:dyDescent="0.25">
      <c r="E4" s="7"/>
    </row>
    <row r="7" spans="1:5" x14ac:dyDescent="0.25">
      <c r="E7" s="8"/>
    </row>
  </sheetData>
  <sheetProtection selectLockedCells="1" selectUnlockedCells="1"/>
  <pageMargins left="0.7" right="0.7" top="0.75" bottom="0.75" header="0.3" footer="0.3"/>
  <pageSetup paperSize="9" orientation="portrait" horizontalDpi="360" verticalDpi="36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O481"/>
  <sheetViews>
    <sheetView zoomScale="80" zoomScaleNormal="80" workbookViewId="0">
      <pane xSplit="12" ySplit="4" topLeftCell="M182" activePane="bottomRight" state="frozen"/>
      <selection pane="topRight" activeCell="M1" sqref="M1"/>
      <selection pane="bottomLeft" activeCell="A5" sqref="A5"/>
      <selection pane="bottomRight" activeCell="C192" sqref="C192"/>
    </sheetView>
  </sheetViews>
  <sheetFormatPr baseColWidth="10" defaultRowHeight="15" x14ac:dyDescent="0.25"/>
  <cols>
    <col min="1" max="1" width="21.42578125" customWidth="1"/>
    <col min="2" max="2" width="15" customWidth="1"/>
    <col min="3" max="3" width="12.85546875" customWidth="1"/>
    <col min="4" max="4" width="16.42578125" customWidth="1"/>
    <col min="5" max="5" width="22" style="10" bestFit="1" customWidth="1"/>
    <col min="6" max="6" width="21.7109375" style="41" customWidth="1"/>
    <col min="7" max="7" width="22.85546875" style="32" customWidth="1"/>
    <col min="8" max="8" width="23.85546875" style="32" bestFit="1" customWidth="1"/>
    <col min="10" max="10" width="11" customWidth="1"/>
  </cols>
  <sheetData>
    <row r="1" spans="1:15" ht="74.25" customHeight="1" x14ac:dyDescent="0.25">
      <c r="A1" s="45" t="s">
        <v>45</v>
      </c>
      <c r="B1" s="45"/>
      <c r="C1" s="46" t="s">
        <v>46</v>
      </c>
      <c r="D1" s="46"/>
      <c r="E1" s="46"/>
      <c r="F1" s="46"/>
      <c r="G1" s="46" t="s">
        <v>56</v>
      </c>
      <c r="H1" s="46"/>
      <c r="I1" s="46"/>
      <c r="J1" s="46"/>
      <c r="K1" s="17"/>
      <c r="L1" s="17"/>
      <c r="M1" s="17"/>
      <c r="N1" s="17"/>
      <c r="O1" s="17"/>
    </row>
    <row r="2" spans="1:15" x14ac:dyDescent="0.25">
      <c r="A2" s="23" t="s">
        <v>43</v>
      </c>
      <c r="B2" s="23" t="s">
        <v>44</v>
      </c>
      <c r="C2" s="17"/>
      <c r="D2" s="17"/>
      <c r="E2" s="35"/>
      <c r="F2" s="39"/>
      <c r="G2" s="34"/>
      <c r="H2" s="34"/>
      <c r="I2" s="17"/>
      <c r="J2" s="17"/>
      <c r="K2" s="17"/>
      <c r="L2" s="17"/>
      <c r="M2" s="17"/>
      <c r="N2" s="17"/>
      <c r="O2" s="17"/>
    </row>
    <row r="3" spans="1:15" x14ac:dyDescent="0.25">
      <c r="A3" s="36">
        <v>44237</v>
      </c>
      <c r="B3" s="36">
        <v>44231</v>
      </c>
      <c r="C3" s="17"/>
      <c r="D3" s="17"/>
      <c r="E3" s="35"/>
      <c r="F3" s="39"/>
      <c r="G3" s="34"/>
      <c r="H3" s="34"/>
      <c r="I3" s="17"/>
      <c r="J3" s="17"/>
      <c r="K3" s="17"/>
      <c r="L3" s="17"/>
      <c r="M3" s="17"/>
      <c r="N3" s="17"/>
      <c r="O3" s="17"/>
    </row>
    <row r="4" spans="1:15" s="1" customFormat="1" ht="49.5" customHeight="1" x14ac:dyDescent="0.25">
      <c r="A4" s="6" t="s">
        <v>5</v>
      </c>
      <c r="B4" s="6" t="s">
        <v>6</v>
      </c>
      <c r="C4" s="6" t="s">
        <v>7</v>
      </c>
      <c r="D4" s="6" t="s">
        <v>8</v>
      </c>
      <c r="E4" s="9" t="s">
        <v>9</v>
      </c>
      <c r="F4" s="40" t="s">
        <v>10</v>
      </c>
      <c r="G4" s="33" t="s">
        <v>16</v>
      </c>
      <c r="H4" s="33" t="s">
        <v>11</v>
      </c>
      <c r="I4" s="6" t="s">
        <v>22</v>
      </c>
      <c r="J4" s="6" t="s">
        <v>57</v>
      </c>
      <c r="K4" s="37"/>
      <c r="L4" s="37"/>
      <c r="M4" s="37"/>
      <c r="N4" s="44"/>
      <c r="O4" s="44"/>
    </row>
    <row r="5" spans="1:15" hidden="1" x14ac:dyDescent="0.25">
      <c r="A5" s="17" t="s">
        <v>14</v>
      </c>
      <c r="B5" s="34">
        <v>35.06</v>
      </c>
      <c r="C5" s="34">
        <v>34.32</v>
      </c>
      <c r="D5" s="17">
        <v>6413</v>
      </c>
      <c r="E5" s="35">
        <v>44151</v>
      </c>
      <c r="F5" s="39"/>
      <c r="G5" s="34"/>
      <c r="H5" s="34">
        <v>205.66</v>
      </c>
      <c r="I5" s="17" t="s">
        <v>30</v>
      </c>
      <c r="J5" s="17"/>
      <c r="K5" s="17"/>
      <c r="L5" s="17"/>
      <c r="M5" s="17"/>
      <c r="N5" s="17"/>
      <c r="O5" s="17"/>
    </row>
    <row r="6" spans="1:15" hidden="1" x14ac:dyDescent="0.25">
      <c r="A6" s="17" t="s">
        <v>42</v>
      </c>
      <c r="B6" s="34">
        <v>35.06</v>
      </c>
      <c r="C6" s="34">
        <v>34.32</v>
      </c>
      <c r="D6" s="17">
        <v>6120</v>
      </c>
      <c r="E6" s="35">
        <v>44151</v>
      </c>
      <c r="F6" s="39"/>
      <c r="G6" s="34"/>
      <c r="H6" s="34">
        <v>35.06</v>
      </c>
      <c r="I6" s="17" t="s">
        <v>30</v>
      </c>
      <c r="J6" s="17"/>
      <c r="K6" s="17"/>
      <c r="L6" s="17"/>
      <c r="M6" s="17"/>
      <c r="N6" s="17"/>
      <c r="O6" s="17"/>
    </row>
    <row r="7" spans="1:15" hidden="1" x14ac:dyDescent="0.25">
      <c r="A7" s="17" t="s">
        <v>42</v>
      </c>
      <c r="B7" s="34">
        <v>35.06</v>
      </c>
      <c r="C7" s="34">
        <v>34.32</v>
      </c>
      <c r="D7" s="17">
        <v>6416</v>
      </c>
      <c r="E7" s="35">
        <v>44152</v>
      </c>
      <c r="F7" s="39"/>
      <c r="G7" s="34"/>
      <c r="H7" s="34">
        <v>35.06</v>
      </c>
      <c r="I7" s="17" t="s">
        <v>30</v>
      </c>
      <c r="J7" s="17"/>
      <c r="K7" s="17"/>
      <c r="L7" s="17"/>
      <c r="M7" s="17"/>
      <c r="N7" s="17"/>
      <c r="O7" s="17"/>
    </row>
    <row r="8" spans="1:15" hidden="1" x14ac:dyDescent="0.25">
      <c r="A8" s="17" t="s">
        <v>13</v>
      </c>
      <c r="B8" s="34">
        <v>35.06</v>
      </c>
      <c r="C8" s="34">
        <v>34.32</v>
      </c>
      <c r="D8" s="17"/>
      <c r="E8" s="35">
        <v>44154</v>
      </c>
      <c r="F8" s="39">
        <v>30</v>
      </c>
      <c r="G8" s="34">
        <v>1029.5999999999999</v>
      </c>
      <c r="H8" s="34">
        <v>22.200000000000301</v>
      </c>
      <c r="I8" s="17" t="s">
        <v>30</v>
      </c>
      <c r="J8" s="17"/>
      <c r="K8" s="17"/>
      <c r="L8" s="17"/>
      <c r="M8" s="17"/>
      <c r="N8" s="17"/>
      <c r="O8" s="17"/>
    </row>
    <row r="9" spans="1:15" hidden="1" x14ac:dyDescent="0.25">
      <c r="A9" s="17" t="s">
        <v>15</v>
      </c>
      <c r="B9" s="34">
        <v>35.06</v>
      </c>
      <c r="C9" s="34">
        <v>34.32</v>
      </c>
      <c r="D9" s="17">
        <v>6172</v>
      </c>
      <c r="E9" s="35">
        <v>44154</v>
      </c>
      <c r="F9" s="39"/>
      <c r="G9" s="34"/>
      <c r="H9" s="34">
        <v>30</v>
      </c>
      <c r="I9" s="17" t="s">
        <v>30</v>
      </c>
      <c r="J9" s="17"/>
      <c r="K9" s="17"/>
      <c r="L9" s="17"/>
      <c r="M9" s="17"/>
      <c r="N9" s="17"/>
      <c r="O9" s="17"/>
    </row>
    <row r="10" spans="1:15" hidden="1" x14ac:dyDescent="0.25">
      <c r="A10" s="17" t="s">
        <v>13</v>
      </c>
      <c r="B10" s="34">
        <v>35.06</v>
      </c>
      <c r="C10" s="34">
        <v>34.32</v>
      </c>
      <c r="D10" s="17"/>
      <c r="E10" s="35">
        <v>44154</v>
      </c>
      <c r="F10" s="39">
        <v>20</v>
      </c>
      <c r="G10" s="34">
        <v>686.4</v>
      </c>
      <c r="H10" s="34">
        <v>14.8000000000001</v>
      </c>
      <c r="I10" s="17" t="s">
        <v>30</v>
      </c>
      <c r="J10" s="17"/>
      <c r="K10" s="17"/>
      <c r="L10" s="17"/>
      <c r="M10" s="17"/>
      <c r="N10" s="17"/>
      <c r="O10" s="17"/>
    </row>
    <row r="11" spans="1:15" hidden="1" x14ac:dyDescent="0.25">
      <c r="A11" s="17" t="s">
        <v>52</v>
      </c>
      <c r="B11" s="34">
        <v>35.06</v>
      </c>
      <c r="C11" s="34">
        <v>34.32</v>
      </c>
      <c r="D11" s="17"/>
      <c r="E11" s="35">
        <v>44154</v>
      </c>
      <c r="F11" s="39"/>
      <c r="G11" s="34"/>
      <c r="H11" s="34">
        <v>50</v>
      </c>
      <c r="I11" s="17" t="s">
        <v>30</v>
      </c>
      <c r="J11" s="17"/>
      <c r="K11" s="17"/>
      <c r="L11" s="17"/>
      <c r="M11" s="17"/>
      <c r="N11" s="17"/>
      <c r="O11" s="17"/>
    </row>
    <row r="12" spans="1:15" hidden="1" x14ac:dyDescent="0.25">
      <c r="A12" s="17" t="s">
        <v>53</v>
      </c>
      <c r="B12" s="34">
        <v>35.06</v>
      </c>
      <c r="C12" s="34">
        <v>34.32</v>
      </c>
      <c r="D12" s="17">
        <v>6423</v>
      </c>
      <c r="E12" s="35">
        <v>44155</v>
      </c>
      <c r="F12" s="39"/>
      <c r="G12" s="34"/>
      <c r="H12" s="34">
        <v>385.66</v>
      </c>
      <c r="I12" s="17" t="s">
        <v>30</v>
      </c>
      <c r="J12" s="17"/>
      <c r="K12" s="17"/>
      <c r="L12" s="17"/>
      <c r="M12" s="17"/>
      <c r="N12" s="17"/>
      <c r="O12" s="17"/>
    </row>
    <row r="13" spans="1:15" hidden="1" x14ac:dyDescent="0.25">
      <c r="A13" s="17" t="s">
        <v>14</v>
      </c>
      <c r="B13" s="34">
        <v>35.06</v>
      </c>
      <c r="C13" s="34">
        <v>34.32</v>
      </c>
      <c r="D13" s="17">
        <v>6424</v>
      </c>
      <c r="E13" s="35">
        <v>44155</v>
      </c>
      <c r="F13" s="39"/>
      <c r="G13" s="34"/>
      <c r="H13" s="34">
        <v>205.66</v>
      </c>
      <c r="I13" s="17" t="s">
        <v>30</v>
      </c>
      <c r="J13" s="17"/>
      <c r="K13" s="17"/>
      <c r="L13" s="17"/>
      <c r="M13" s="17"/>
      <c r="N13" s="17"/>
      <c r="O13" s="17"/>
    </row>
    <row r="14" spans="1:15" hidden="1" x14ac:dyDescent="0.25">
      <c r="A14" s="17" t="s">
        <v>54</v>
      </c>
      <c r="B14" s="34">
        <v>35.06</v>
      </c>
      <c r="C14" s="34">
        <v>34.32</v>
      </c>
      <c r="D14" s="38" t="s">
        <v>55</v>
      </c>
      <c r="E14" s="35">
        <v>44155</v>
      </c>
      <c r="F14" s="39"/>
      <c r="G14" s="34"/>
      <c r="H14" s="34">
        <v>-180</v>
      </c>
      <c r="I14" s="17" t="s">
        <v>30</v>
      </c>
      <c r="J14" s="17"/>
      <c r="K14" s="17"/>
      <c r="L14" s="17"/>
      <c r="M14" s="17"/>
      <c r="N14" s="17"/>
      <c r="O14" s="17"/>
    </row>
    <row r="15" spans="1:15" hidden="1" x14ac:dyDescent="0.25">
      <c r="A15" s="17" t="s">
        <v>15</v>
      </c>
      <c r="B15" s="34">
        <v>35.06</v>
      </c>
      <c r="C15" s="34">
        <v>34.32</v>
      </c>
      <c r="D15" s="17">
        <v>6090</v>
      </c>
      <c r="E15" s="35">
        <v>44155</v>
      </c>
      <c r="F15" s="39"/>
      <c r="G15" s="34"/>
      <c r="H15" s="34">
        <v>30</v>
      </c>
      <c r="I15" s="17" t="s">
        <v>30</v>
      </c>
      <c r="J15" s="17"/>
      <c r="K15" s="17"/>
      <c r="L15" s="17"/>
      <c r="M15" s="17"/>
      <c r="N15" s="17"/>
      <c r="O15" s="17"/>
    </row>
    <row r="16" spans="1:15" hidden="1" x14ac:dyDescent="0.25">
      <c r="A16" s="17" t="s">
        <v>13</v>
      </c>
      <c r="B16" s="34">
        <v>35.06</v>
      </c>
      <c r="C16" s="34">
        <v>34.32</v>
      </c>
      <c r="D16" s="17"/>
      <c r="E16" s="35">
        <v>44156</v>
      </c>
      <c r="F16" s="39">
        <v>20</v>
      </c>
      <c r="G16" s="34">
        <v>686.4</v>
      </c>
      <c r="H16" s="34">
        <v>14.8000000000001</v>
      </c>
      <c r="I16" s="17" t="s">
        <v>30</v>
      </c>
      <c r="J16" s="17"/>
      <c r="K16" s="17"/>
      <c r="L16" s="17"/>
      <c r="M16" s="17"/>
      <c r="N16" s="17"/>
      <c r="O16" s="17"/>
    </row>
    <row r="17" spans="1:15" hidden="1" x14ac:dyDescent="0.25">
      <c r="A17" s="17" t="s">
        <v>13</v>
      </c>
      <c r="B17" s="34">
        <v>35.06</v>
      </c>
      <c r="C17" s="34">
        <v>34.32</v>
      </c>
      <c r="D17" s="17"/>
      <c r="E17" s="35">
        <v>44156</v>
      </c>
      <c r="F17" s="39">
        <v>20</v>
      </c>
      <c r="G17" s="34">
        <v>686.4</v>
      </c>
      <c r="H17" s="34">
        <v>14.8000000000001</v>
      </c>
      <c r="I17" s="17" t="s">
        <v>30</v>
      </c>
      <c r="J17" s="17"/>
      <c r="K17" s="17"/>
      <c r="L17" s="17"/>
      <c r="M17" s="17"/>
      <c r="N17" s="17"/>
      <c r="O17" s="17"/>
    </row>
    <row r="18" spans="1:15" hidden="1" x14ac:dyDescent="0.25">
      <c r="A18" s="17" t="s">
        <v>15</v>
      </c>
      <c r="B18" s="34">
        <v>35.06</v>
      </c>
      <c r="C18" s="34">
        <v>34.32</v>
      </c>
      <c r="D18" s="17">
        <v>6168</v>
      </c>
      <c r="E18" s="35">
        <v>44156</v>
      </c>
      <c r="F18" s="39"/>
      <c r="G18" s="34"/>
      <c r="H18" s="42">
        <v>30</v>
      </c>
      <c r="I18" s="17" t="s">
        <v>30</v>
      </c>
      <c r="J18" s="17" t="s">
        <v>58</v>
      </c>
      <c r="K18" s="17"/>
      <c r="L18" s="17"/>
      <c r="M18" s="17"/>
      <c r="N18" s="17"/>
      <c r="O18" s="17"/>
    </row>
    <row r="19" spans="1:15" hidden="1" x14ac:dyDescent="0.25">
      <c r="A19" s="17" t="s">
        <v>42</v>
      </c>
      <c r="B19" s="34">
        <v>35.06</v>
      </c>
      <c r="C19" s="34">
        <v>34.32</v>
      </c>
      <c r="D19" s="17">
        <v>6435</v>
      </c>
      <c r="E19" s="35">
        <v>44158</v>
      </c>
      <c r="F19" s="39"/>
      <c r="G19" s="34"/>
      <c r="H19" s="34">
        <v>35.06</v>
      </c>
      <c r="I19" s="17" t="s">
        <v>30</v>
      </c>
      <c r="J19" s="17"/>
      <c r="K19" s="17"/>
      <c r="L19" s="17"/>
      <c r="M19" s="17"/>
      <c r="N19" s="17"/>
      <c r="O19" s="17"/>
    </row>
    <row r="20" spans="1:15" hidden="1" x14ac:dyDescent="0.25">
      <c r="A20" s="17" t="s">
        <v>13</v>
      </c>
      <c r="B20" s="34">
        <v>35.06</v>
      </c>
      <c r="C20" s="34">
        <v>34.32</v>
      </c>
      <c r="D20" s="17"/>
      <c r="E20" s="35">
        <v>44158</v>
      </c>
      <c r="F20" s="39">
        <v>40</v>
      </c>
      <c r="G20" s="34">
        <v>1372.8</v>
      </c>
      <c r="H20" s="34">
        <v>29.600000000000101</v>
      </c>
      <c r="I20" s="17" t="s">
        <v>30</v>
      </c>
      <c r="J20" s="17"/>
      <c r="K20" s="17"/>
      <c r="L20" s="17"/>
      <c r="M20" s="17"/>
      <c r="N20" s="17"/>
      <c r="O20" s="17"/>
    </row>
    <row r="21" spans="1:15" hidden="1" x14ac:dyDescent="0.25">
      <c r="A21" s="17" t="s">
        <v>13</v>
      </c>
      <c r="B21" s="34">
        <v>35.06</v>
      </c>
      <c r="C21" s="34">
        <v>34.32</v>
      </c>
      <c r="D21" s="17"/>
      <c r="E21" s="35">
        <v>44158</v>
      </c>
      <c r="F21" s="39">
        <v>10</v>
      </c>
      <c r="G21" s="34">
        <v>343.2</v>
      </c>
      <c r="H21" s="34">
        <v>7.4000000000000297</v>
      </c>
      <c r="I21" s="17" t="s">
        <v>30</v>
      </c>
      <c r="J21" s="17"/>
      <c r="K21" s="17"/>
      <c r="L21" s="17"/>
      <c r="M21" s="17"/>
      <c r="N21" s="17"/>
      <c r="O21" s="17"/>
    </row>
    <row r="22" spans="1:15" hidden="1" x14ac:dyDescent="0.25">
      <c r="A22" s="17" t="s">
        <v>14</v>
      </c>
      <c r="B22" s="34">
        <v>35.06</v>
      </c>
      <c r="C22" s="34">
        <v>34.32</v>
      </c>
      <c r="D22" s="17">
        <v>6438</v>
      </c>
      <c r="E22" s="35">
        <v>44158</v>
      </c>
      <c r="F22" s="39"/>
      <c r="G22" s="34"/>
      <c r="H22" s="34">
        <v>205.66</v>
      </c>
      <c r="I22" s="17" t="s">
        <v>30</v>
      </c>
      <c r="J22" s="17"/>
      <c r="K22" s="17"/>
      <c r="L22" s="17"/>
      <c r="M22" s="17"/>
      <c r="N22" s="17"/>
      <c r="O22" s="17"/>
    </row>
    <row r="23" spans="1:15" hidden="1" x14ac:dyDescent="0.25">
      <c r="A23" s="17" t="s">
        <v>53</v>
      </c>
      <c r="B23" s="34">
        <v>35.06</v>
      </c>
      <c r="C23" s="34">
        <v>34.32</v>
      </c>
      <c r="D23" s="17">
        <v>6439</v>
      </c>
      <c r="E23" s="35">
        <v>44158</v>
      </c>
      <c r="F23" s="39"/>
      <c r="G23" s="34"/>
      <c r="H23" s="34">
        <v>385.66</v>
      </c>
      <c r="I23" s="17" t="s">
        <v>30</v>
      </c>
      <c r="J23" s="17"/>
      <c r="K23" s="17"/>
      <c r="L23" s="17"/>
      <c r="M23" s="17"/>
      <c r="N23" s="17"/>
      <c r="O23" s="17"/>
    </row>
    <row r="24" spans="1:15" hidden="1" x14ac:dyDescent="0.25">
      <c r="A24" s="17" t="s">
        <v>15</v>
      </c>
      <c r="B24" s="34">
        <v>35.06</v>
      </c>
      <c r="C24" s="34">
        <v>34.71</v>
      </c>
      <c r="D24" s="17">
        <v>6303</v>
      </c>
      <c r="E24" s="35">
        <v>44159</v>
      </c>
      <c r="F24" s="39"/>
      <c r="G24" s="34"/>
      <c r="H24" s="34">
        <v>30</v>
      </c>
      <c r="I24" s="17" t="s">
        <v>30</v>
      </c>
      <c r="J24" s="17"/>
      <c r="K24" s="17"/>
      <c r="L24" s="17"/>
      <c r="M24" s="17"/>
      <c r="N24" s="17"/>
      <c r="O24" s="17"/>
    </row>
    <row r="25" spans="1:15" hidden="1" x14ac:dyDescent="0.25">
      <c r="A25" s="17" t="s">
        <v>13</v>
      </c>
      <c r="B25" s="34">
        <v>35.06</v>
      </c>
      <c r="C25" s="34">
        <v>34.71</v>
      </c>
      <c r="D25" s="17"/>
      <c r="E25" s="35">
        <v>44159</v>
      </c>
      <c r="F25" s="39">
        <v>20</v>
      </c>
      <c r="G25" s="34">
        <v>694.2</v>
      </c>
      <c r="H25" s="34">
        <v>7</v>
      </c>
      <c r="I25" s="17" t="s">
        <v>30</v>
      </c>
      <c r="J25" s="17"/>
      <c r="K25" s="17"/>
      <c r="L25" s="17"/>
      <c r="M25" s="17"/>
      <c r="N25" s="17"/>
      <c r="O25" s="17"/>
    </row>
    <row r="26" spans="1:15" hidden="1" x14ac:dyDescent="0.25">
      <c r="A26" s="17" t="s">
        <v>14</v>
      </c>
      <c r="B26" s="34">
        <v>35.06</v>
      </c>
      <c r="C26" s="34">
        <v>34.71</v>
      </c>
      <c r="D26" s="17">
        <v>6446</v>
      </c>
      <c r="E26" s="35">
        <v>44159</v>
      </c>
      <c r="F26" s="39"/>
      <c r="G26" s="34"/>
      <c r="H26" s="34">
        <v>205.66</v>
      </c>
      <c r="I26" s="17" t="s">
        <v>30</v>
      </c>
      <c r="J26" s="17"/>
      <c r="K26" s="17"/>
      <c r="L26" s="17"/>
      <c r="M26" s="17"/>
      <c r="N26" s="17"/>
      <c r="O26" s="17"/>
    </row>
    <row r="27" spans="1:15" hidden="1" x14ac:dyDescent="0.25">
      <c r="A27" s="17" t="s">
        <v>53</v>
      </c>
      <c r="B27" s="34">
        <v>35.06</v>
      </c>
      <c r="C27" s="34">
        <v>34.71</v>
      </c>
      <c r="D27" s="17">
        <v>6442</v>
      </c>
      <c r="E27" s="35">
        <v>44159</v>
      </c>
      <c r="F27" s="39"/>
      <c r="G27" s="34"/>
      <c r="H27" s="34">
        <v>385.66</v>
      </c>
      <c r="I27" s="17" t="s">
        <v>30</v>
      </c>
      <c r="J27" s="17"/>
      <c r="K27" s="17"/>
      <c r="L27" s="17"/>
      <c r="M27" s="17"/>
      <c r="N27" s="17"/>
      <c r="O27" s="17"/>
    </row>
    <row r="28" spans="1:15" hidden="1" x14ac:dyDescent="0.25">
      <c r="A28" s="17" t="s">
        <v>53</v>
      </c>
      <c r="B28" s="34">
        <v>35.06</v>
      </c>
      <c r="C28" s="34">
        <v>34.71</v>
      </c>
      <c r="D28" s="17">
        <v>6451</v>
      </c>
      <c r="E28" s="35">
        <v>44159</v>
      </c>
      <c r="F28" s="39"/>
      <c r="G28" s="34"/>
      <c r="H28" s="34">
        <v>385.66</v>
      </c>
      <c r="I28" s="17" t="s">
        <v>30</v>
      </c>
      <c r="J28" s="17"/>
      <c r="K28" s="17"/>
      <c r="L28" s="17"/>
      <c r="M28" s="17"/>
      <c r="N28" s="17"/>
      <c r="O28" s="17"/>
    </row>
    <row r="29" spans="1:15" hidden="1" x14ac:dyDescent="0.25">
      <c r="A29" s="17" t="s">
        <v>13</v>
      </c>
      <c r="B29" s="34">
        <v>35.06</v>
      </c>
      <c r="C29" s="34">
        <v>34.71</v>
      </c>
      <c r="D29" s="17"/>
      <c r="E29" s="35">
        <v>44160</v>
      </c>
      <c r="F29" s="39">
        <v>100</v>
      </c>
      <c r="G29" s="34">
        <v>3471</v>
      </c>
      <c r="H29" s="34">
        <v>35</v>
      </c>
      <c r="I29" s="17" t="s">
        <v>30</v>
      </c>
      <c r="J29" s="17"/>
      <c r="K29" s="17"/>
      <c r="L29" s="17"/>
      <c r="M29" s="17"/>
      <c r="N29" s="17"/>
      <c r="O29" s="17"/>
    </row>
    <row r="30" spans="1:15" hidden="1" x14ac:dyDescent="0.25">
      <c r="A30" s="17" t="s">
        <v>13</v>
      </c>
      <c r="B30" s="34">
        <v>35.06</v>
      </c>
      <c r="C30" s="34">
        <v>34.71</v>
      </c>
      <c r="D30" s="17"/>
      <c r="E30" s="35">
        <v>44160</v>
      </c>
      <c r="F30" s="39">
        <v>50</v>
      </c>
      <c r="G30" s="34">
        <v>1735.5</v>
      </c>
      <c r="H30" s="34">
        <v>17.5</v>
      </c>
      <c r="I30" s="17" t="s">
        <v>30</v>
      </c>
      <c r="J30" s="17"/>
      <c r="K30" s="17"/>
      <c r="L30" s="17"/>
      <c r="M30" s="17"/>
      <c r="N30" s="17"/>
      <c r="O30" s="17"/>
    </row>
    <row r="31" spans="1:15" hidden="1" x14ac:dyDescent="0.25">
      <c r="A31" s="17" t="s">
        <v>13</v>
      </c>
      <c r="B31" s="34">
        <v>35.06</v>
      </c>
      <c r="C31" s="34">
        <v>34.71</v>
      </c>
      <c r="D31" s="17"/>
      <c r="E31" s="35">
        <v>44160</v>
      </c>
      <c r="F31" s="39">
        <v>80</v>
      </c>
      <c r="G31" s="34">
        <v>2776.8</v>
      </c>
      <c r="H31" s="34">
        <v>28</v>
      </c>
      <c r="I31" s="17" t="s">
        <v>30</v>
      </c>
      <c r="J31" s="17"/>
      <c r="K31" s="17"/>
      <c r="L31" s="17"/>
      <c r="M31" s="17"/>
      <c r="N31" s="17"/>
      <c r="O31" s="17"/>
    </row>
    <row r="32" spans="1:15" hidden="1" x14ac:dyDescent="0.25">
      <c r="A32" s="17" t="s">
        <v>15</v>
      </c>
      <c r="B32" s="34">
        <v>35.06</v>
      </c>
      <c r="C32" s="34">
        <v>34.71</v>
      </c>
      <c r="D32" s="17">
        <v>5170</v>
      </c>
      <c r="E32" s="35">
        <v>44160</v>
      </c>
      <c r="F32" s="39"/>
      <c r="G32" s="34"/>
      <c r="H32" s="34">
        <v>30</v>
      </c>
      <c r="I32" s="17" t="s">
        <v>30</v>
      </c>
      <c r="J32" s="17"/>
      <c r="K32" s="17"/>
      <c r="L32" s="17"/>
      <c r="M32" s="17"/>
      <c r="N32" s="17"/>
      <c r="O32" s="17"/>
    </row>
    <row r="33" spans="1:15" hidden="1" x14ac:dyDescent="0.25">
      <c r="A33" s="17" t="s">
        <v>15</v>
      </c>
      <c r="B33" s="34">
        <v>35.06</v>
      </c>
      <c r="C33" s="34">
        <v>34.71</v>
      </c>
      <c r="D33" s="17">
        <v>6175</v>
      </c>
      <c r="E33" s="35">
        <v>44161</v>
      </c>
      <c r="F33" s="39"/>
      <c r="G33" s="34"/>
      <c r="H33" s="34">
        <v>30</v>
      </c>
      <c r="I33" s="17" t="s">
        <v>30</v>
      </c>
      <c r="J33" s="17"/>
      <c r="K33" s="17"/>
      <c r="L33" s="17"/>
      <c r="M33" s="17"/>
      <c r="N33" s="17"/>
      <c r="O33" s="17"/>
    </row>
    <row r="34" spans="1:15" hidden="1" x14ac:dyDescent="0.25">
      <c r="A34" s="17" t="s">
        <v>13</v>
      </c>
      <c r="B34" s="34">
        <v>35.06</v>
      </c>
      <c r="C34" s="34">
        <v>34.71</v>
      </c>
      <c r="D34" s="17"/>
      <c r="E34" s="35">
        <v>44161</v>
      </c>
      <c r="F34" s="39">
        <v>50</v>
      </c>
      <c r="G34" s="34">
        <v>1735.5</v>
      </c>
      <c r="H34" s="34">
        <v>17.5</v>
      </c>
      <c r="I34" s="17" t="s">
        <v>30</v>
      </c>
      <c r="J34" s="17"/>
      <c r="K34" s="17"/>
      <c r="L34" s="17"/>
      <c r="M34" s="17"/>
      <c r="N34" s="17"/>
      <c r="O34" s="17"/>
    </row>
    <row r="35" spans="1:15" hidden="1" x14ac:dyDescent="0.25">
      <c r="A35" s="17" t="s">
        <v>13</v>
      </c>
      <c r="B35" s="34">
        <v>35.06</v>
      </c>
      <c r="C35" s="34">
        <v>34.71</v>
      </c>
      <c r="D35" s="17"/>
      <c r="E35" s="35">
        <v>44161</v>
      </c>
      <c r="F35" s="39">
        <v>50</v>
      </c>
      <c r="G35" s="34">
        <v>1735.5</v>
      </c>
      <c r="H35" s="34">
        <v>17.5</v>
      </c>
      <c r="I35" s="17" t="s">
        <v>30</v>
      </c>
      <c r="J35" s="17"/>
      <c r="K35" s="17"/>
      <c r="L35" s="17"/>
      <c r="M35" s="17"/>
      <c r="N35" s="17"/>
      <c r="O35" s="17"/>
    </row>
    <row r="36" spans="1:15" hidden="1" x14ac:dyDescent="0.25">
      <c r="A36" s="17" t="s">
        <v>15</v>
      </c>
      <c r="B36" s="34">
        <v>35.06</v>
      </c>
      <c r="C36" s="34">
        <v>34.71</v>
      </c>
      <c r="D36" s="17">
        <v>2544</v>
      </c>
      <c r="E36" s="35">
        <v>44161</v>
      </c>
      <c r="F36" s="39"/>
      <c r="G36" s="34"/>
      <c r="H36" s="34">
        <v>30</v>
      </c>
      <c r="I36" s="17" t="s">
        <v>30</v>
      </c>
      <c r="J36" s="17"/>
      <c r="K36" s="17"/>
      <c r="L36" s="17"/>
      <c r="M36" s="17"/>
      <c r="N36" s="17"/>
      <c r="O36" s="17"/>
    </row>
    <row r="37" spans="1:15" hidden="1" x14ac:dyDescent="0.25">
      <c r="A37" s="17" t="s">
        <v>15</v>
      </c>
      <c r="B37" s="34">
        <v>35.090000000000003</v>
      </c>
      <c r="C37" s="34">
        <v>34.74</v>
      </c>
      <c r="D37" s="17">
        <v>6215</v>
      </c>
      <c r="E37" s="35">
        <v>44162</v>
      </c>
      <c r="F37" s="39"/>
      <c r="G37" s="34"/>
      <c r="H37" s="34">
        <v>30</v>
      </c>
      <c r="I37" s="17" t="s">
        <v>30</v>
      </c>
      <c r="J37" s="17"/>
      <c r="K37" s="17"/>
      <c r="L37" s="17"/>
      <c r="M37" s="17"/>
      <c r="N37" s="17"/>
      <c r="O37" s="17"/>
    </row>
    <row r="38" spans="1:15" hidden="1" x14ac:dyDescent="0.25">
      <c r="A38" s="17" t="s">
        <v>14</v>
      </c>
      <c r="B38" s="34">
        <v>35.090000000000003</v>
      </c>
      <c r="C38" s="34">
        <v>34.74</v>
      </c>
      <c r="D38" s="17">
        <v>6468</v>
      </c>
      <c r="E38" s="35">
        <v>44162</v>
      </c>
      <c r="F38" s="39"/>
      <c r="G38" s="34"/>
      <c r="H38" s="34">
        <v>205.99</v>
      </c>
      <c r="I38" s="17" t="s">
        <v>30</v>
      </c>
      <c r="J38" s="17"/>
      <c r="K38" s="17"/>
      <c r="L38" s="17"/>
      <c r="M38" s="17"/>
      <c r="N38" s="17"/>
      <c r="O38" s="17"/>
    </row>
    <row r="39" spans="1:15" hidden="1" x14ac:dyDescent="0.25">
      <c r="A39" s="17" t="s">
        <v>15</v>
      </c>
      <c r="B39" s="34">
        <v>35.090000000000003</v>
      </c>
      <c r="C39" s="34">
        <v>34.74</v>
      </c>
      <c r="D39" s="17">
        <v>6309</v>
      </c>
      <c r="E39" s="35">
        <v>44162</v>
      </c>
      <c r="F39" s="39"/>
      <c r="G39" s="34"/>
      <c r="H39" s="34">
        <v>30</v>
      </c>
      <c r="I39" s="17" t="s">
        <v>30</v>
      </c>
      <c r="J39" s="17"/>
      <c r="K39" s="17"/>
      <c r="L39" s="17"/>
      <c r="M39" s="17"/>
      <c r="N39" s="17"/>
      <c r="O39" s="17"/>
    </row>
    <row r="40" spans="1:15" hidden="1" x14ac:dyDescent="0.25">
      <c r="A40" s="17" t="s">
        <v>13</v>
      </c>
      <c r="B40" s="34">
        <v>35.090000000000003</v>
      </c>
      <c r="C40" s="34">
        <v>34.74</v>
      </c>
      <c r="D40" s="17"/>
      <c r="E40" s="35">
        <v>44163</v>
      </c>
      <c r="F40" s="39">
        <v>100</v>
      </c>
      <c r="G40" s="34">
        <v>3474</v>
      </c>
      <c r="H40" s="34">
        <v>35.000000000000497</v>
      </c>
      <c r="I40" s="17" t="s">
        <v>30</v>
      </c>
      <c r="J40" s="17"/>
      <c r="K40" s="17"/>
      <c r="L40" s="17"/>
      <c r="M40" s="17"/>
      <c r="N40" s="17"/>
      <c r="O40" s="17"/>
    </row>
    <row r="41" spans="1:15" hidden="1" x14ac:dyDescent="0.25">
      <c r="A41" s="17" t="s">
        <v>13</v>
      </c>
      <c r="B41" s="34">
        <v>35.090000000000003</v>
      </c>
      <c r="C41" s="34">
        <v>34.74</v>
      </c>
      <c r="D41" s="17"/>
      <c r="E41" s="35">
        <v>44163</v>
      </c>
      <c r="F41" s="39">
        <v>100</v>
      </c>
      <c r="G41" s="34">
        <v>3474</v>
      </c>
      <c r="H41" s="34">
        <v>35.000000000000497</v>
      </c>
      <c r="I41" s="17" t="s">
        <v>30</v>
      </c>
      <c r="J41" s="17"/>
      <c r="K41" s="17"/>
      <c r="L41" s="17"/>
      <c r="M41" s="17"/>
      <c r="N41" s="17"/>
      <c r="O41" s="17"/>
    </row>
    <row r="42" spans="1:15" hidden="1" x14ac:dyDescent="0.25">
      <c r="A42" s="17" t="s">
        <v>15</v>
      </c>
      <c r="B42" s="34">
        <v>35.090000000000003</v>
      </c>
      <c r="C42" s="34">
        <v>34.74</v>
      </c>
      <c r="D42" s="17">
        <v>5454</v>
      </c>
      <c r="E42" s="35">
        <v>44163</v>
      </c>
      <c r="F42" s="39"/>
      <c r="G42" s="34"/>
      <c r="H42" s="34">
        <v>30</v>
      </c>
      <c r="I42" s="17" t="s">
        <v>30</v>
      </c>
      <c r="J42" s="17"/>
      <c r="K42" s="17"/>
      <c r="L42" s="17"/>
      <c r="M42" s="17"/>
      <c r="N42" s="17"/>
      <c r="O42" s="17"/>
    </row>
    <row r="43" spans="1:15" hidden="1" x14ac:dyDescent="0.25">
      <c r="A43" s="17" t="s">
        <v>13</v>
      </c>
      <c r="B43" s="34">
        <v>35.090000000000003</v>
      </c>
      <c r="C43" s="34">
        <v>34.74</v>
      </c>
      <c r="D43" s="17"/>
      <c r="E43" s="35">
        <v>44163</v>
      </c>
      <c r="F43" s="39">
        <v>60</v>
      </c>
      <c r="G43" s="34">
        <v>2084.4</v>
      </c>
      <c r="H43" s="34">
        <v>21</v>
      </c>
      <c r="I43" s="17" t="s">
        <v>30</v>
      </c>
      <c r="J43" s="17"/>
      <c r="K43" s="17"/>
      <c r="L43" s="17"/>
      <c r="M43" s="17"/>
      <c r="N43" s="17"/>
      <c r="O43" s="17"/>
    </row>
    <row r="44" spans="1:15" hidden="1" x14ac:dyDescent="0.25">
      <c r="A44" s="17" t="s">
        <v>13</v>
      </c>
      <c r="B44" s="34">
        <v>35.090000000000003</v>
      </c>
      <c r="C44" s="34">
        <v>34.74</v>
      </c>
      <c r="D44" s="17"/>
      <c r="E44" s="35">
        <v>44165</v>
      </c>
      <c r="F44" s="39">
        <v>20</v>
      </c>
      <c r="G44" s="34">
        <v>694.8</v>
      </c>
      <c r="H44" s="34">
        <v>7</v>
      </c>
      <c r="I44" s="17" t="s">
        <v>30</v>
      </c>
      <c r="J44" s="17"/>
      <c r="K44" s="17"/>
      <c r="L44" s="17"/>
      <c r="M44" s="17"/>
      <c r="N44" s="17"/>
      <c r="O44" s="17"/>
    </row>
    <row r="45" spans="1:15" hidden="1" x14ac:dyDescent="0.25">
      <c r="A45" s="17" t="s">
        <v>15</v>
      </c>
      <c r="B45" s="34">
        <v>35.090000000000003</v>
      </c>
      <c r="C45" s="34">
        <v>34.74</v>
      </c>
      <c r="D45" s="17">
        <v>6182</v>
      </c>
      <c r="E45" s="35">
        <v>44166</v>
      </c>
      <c r="F45" s="39"/>
      <c r="G45" s="34"/>
      <c r="H45" s="34">
        <v>30</v>
      </c>
      <c r="I45" s="17" t="s">
        <v>30</v>
      </c>
      <c r="J45" s="17"/>
      <c r="K45" s="17"/>
      <c r="L45" s="17"/>
      <c r="M45" s="17"/>
      <c r="N45" s="17"/>
      <c r="O45" s="17"/>
    </row>
    <row r="46" spans="1:15" hidden="1" x14ac:dyDescent="0.25">
      <c r="A46" s="17" t="s">
        <v>13</v>
      </c>
      <c r="B46" s="34">
        <v>35.090000000000003</v>
      </c>
      <c r="C46" s="34">
        <v>34.74</v>
      </c>
      <c r="D46" s="17"/>
      <c r="E46" s="35">
        <v>44166</v>
      </c>
      <c r="F46" s="39">
        <v>10</v>
      </c>
      <c r="G46" s="34">
        <v>347.4</v>
      </c>
      <c r="H46" s="34">
        <v>3.5</v>
      </c>
      <c r="I46" s="17" t="s">
        <v>30</v>
      </c>
      <c r="J46" s="17"/>
      <c r="K46" s="17"/>
      <c r="L46" s="17"/>
      <c r="M46" s="17"/>
      <c r="N46" s="17"/>
      <c r="O46" s="17"/>
    </row>
    <row r="47" spans="1:15" hidden="1" x14ac:dyDescent="0.25">
      <c r="A47" s="17" t="s">
        <v>53</v>
      </c>
      <c r="B47" s="34">
        <v>35.090000000000003</v>
      </c>
      <c r="C47" s="34">
        <v>34.74</v>
      </c>
      <c r="D47" s="17">
        <v>6486</v>
      </c>
      <c r="E47" s="35">
        <v>44166</v>
      </c>
      <c r="F47" s="39"/>
      <c r="G47" s="34"/>
      <c r="H47" s="34">
        <v>385.99</v>
      </c>
      <c r="I47" s="17" t="s">
        <v>30</v>
      </c>
      <c r="J47" s="17"/>
      <c r="K47" s="17"/>
      <c r="L47" s="17"/>
      <c r="M47" s="17"/>
      <c r="N47" s="17"/>
      <c r="O47" s="17"/>
    </row>
    <row r="48" spans="1:15" hidden="1" x14ac:dyDescent="0.25">
      <c r="A48" s="17" t="s">
        <v>15</v>
      </c>
      <c r="B48" s="34">
        <v>35.090000000000003</v>
      </c>
      <c r="C48" s="34">
        <v>34.74</v>
      </c>
      <c r="D48" s="17">
        <v>6431</v>
      </c>
      <c r="E48" s="35">
        <v>44167</v>
      </c>
      <c r="F48" s="39"/>
      <c r="G48" s="34"/>
      <c r="H48" s="34">
        <v>30</v>
      </c>
      <c r="I48" s="17" t="s">
        <v>30</v>
      </c>
      <c r="J48" s="17"/>
      <c r="K48" s="17"/>
      <c r="L48" s="17"/>
      <c r="M48" s="17"/>
      <c r="N48" s="17"/>
      <c r="O48" s="17"/>
    </row>
    <row r="49" spans="1:15" hidden="1" x14ac:dyDescent="0.25">
      <c r="A49" s="17" t="s">
        <v>53</v>
      </c>
      <c r="B49" s="34">
        <v>35.090000000000003</v>
      </c>
      <c r="C49" s="34">
        <v>34.74</v>
      </c>
      <c r="D49" s="17">
        <v>6496</v>
      </c>
      <c r="E49" s="35">
        <v>44167</v>
      </c>
      <c r="F49" s="39"/>
      <c r="G49" s="34"/>
      <c r="H49" s="34">
        <v>385.99</v>
      </c>
      <c r="I49" s="17" t="s">
        <v>30</v>
      </c>
      <c r="J49" s="17"/>
      <c r="K49" s="17"/>
      <c r="L49" s="17"/>
      <c r="M49" s="17"/>
      <c r="N49" s="17"/>
      <c r="O49" s="17"/>
    </row>
    <row r="50" spans="1:15" hidden="1" x14ac:dyDescent="0.25">
      <c r="A50" s="17" t="s">
        <v>13</v>
      </c>
      <c r="B50" s="34">
        <v>35.090000000000003</v>
      </c>
      <c r="C50" s="34">
        <v>34.74</v>
      </c>
      <c r="D50" s="17"/>
      <c r="E50" s="35">
        <v>44167</v>
      </c>
      <c r="F50" s="39">
        <v>20</v>
      </c>
      <c r="G50" s="34">
        <v>694.8</v>
      </c>
      <c r="H50" s="34">
        <v>7</v>
      </c>
      <c r="I50" s="17" t="s">
        <v>30</v>
      </c>
      <c r="J50" s="17"/>
      <c r="K50" s="17"/>
      <c r="L50" s="17"/>
      <c r="M50" s="17"/>
      <c r="N50" s="17"/>
      <c r="O50" s="17"/>
    </row>
    <row r="51" spans="1:15" hidden="1" x14ac:dyDescent="0.25">
      <c r="A51" s="17" t="s">
        <v>13</v>
      </c>
      <c r="B51" s="34">
        <v>35.090000000000003</v>
      </c>
      <c r="C51" s="34">
        <v>34.74</v>
      </c>
      <c r="D51" s="17"/>
      <c r="E51" s="35">
        <v>44168</v>
      </c>
      <c r="F51" s="39">
        <v>20</v>
      </c>
      <c r="G51" s="34">
        <v>694.8</v>
      </c>
      <c r="H51" s="34">
        <v>7</v>
      </c>
      <c r="I51" s="17" t="s">
        <v>30</v>
      </c>
      <c r="J51" s="17"/>
      <c r="K51" s="17"/>
      <c r="L51" s="17"/>
      <c r="M51" s="17"/>
      <c r="N51" s="17"/>
      <c r="O51" s="17"/>
    </row>
    <row r="52" spans="1:15" hidden="1" x14ac:dyDescent="0.25">
      <c r="A52" s="17" t="s">
        <v>13</v>
      </c>
      <c r="B52" s="34">
        <v>35.090000000000003</v>
      </c>
      <c r="C52" s="34">
        <v>34.74</v>
      </c>
      <c r="D52" s="17"/>
      <c r="E52" s="35">
        <v>44168</v>
      </c>
      <c r="F52" s="39">
        <v>20</v>
      </c>
      <c r="G52" s="34">
        <v>694.8</v>
      </c>
      <c r="H52" s="34">
        <v>7</v>
      </c>
      <c r="I52" s="17" t="s">
        <v>30</v>
      </c>
      <c r="J52" s="17"/>
      <c r="K52" s="17"/>
      <c r="L52" s="17"/>
      <c r="M52" s="17"/>
      <c r="N52" s="17"/>
      <c r="O52" s="17"/>
    </row>
    <row r="53" spans="1:15" hidden="1" x14ac:dyDescent="0.25">
      <c r="A53" s="17" t="s">
        <v>15</v>
      </c>
      <c r="B53" s="34">
        <v>35.090000000000003</v>
      </c>
      <c r="C53" s="34">
        <v>34.74</v>
      </c>
      <c r="D53" s="17">
        <v>6306</v>
      </c>
      <c r="E53" s="35">
        <v>44169</v>
      </c>
      <c r="F53" s="39"/>
      <c r="G53" s="34"/>
      <c r="H53" s="34">
        <v>30</v>
      </c>
      <c r="I53" s="17" t="s">
        <v>30</v>
      </c>
      <c r="J53" s="17"/>
      <c r="K53" s="17"/>
      <c r="L53" s="17"/>
      <c r="M53" s="17"/>
      <c r="N53" s="17"/>
      <c r="O53" s="17"/>
    </row>
    <row r="54" spans="1:15" hidden="1" x14ac:dyDescent="0.25">
      <c r="A54" s="17" t="s">
        <v>13</v>
      </c>
      <c r="B54" s="34">
        <v>35.090000000000003</v>
      </c>
      <c r="C54" s="34">
        <v>34.74</v>
      </c>
      <c r="D54" s="17"/>
      <c r="E54" s="35">
        <v>44169</v>
      </c>
      <c r="F54" s="39">
        <v>40</v>
      </c>
      <c r="G54" s="34">
        <v>1389.6</v>
      </c>
      <c r="H54" s="34">
        <v>14</v>
      </c>
      <c r="I54" s="17" t="s">
        <v>30</v>
      </c>
      <c r="J54" s="17"/>
      <c r="K54" s="17"/>
      <c r="L54" s="17"/>
      <c r="M54" s="17"/>
      <c r="N54" s="17"/>
      <c r="O54" s="17"/>
    </row>
    <row r="55" spans="1:15" hidden="1" x14ac:dyDescent="0.25">
      <c r="A55" s="17" t="s">
        <v>15</v>
      </c>
      <c r="B55" s="34">
        <v>35.090000000000003</v>
      </c>
      <c r="C55" s="34">
        <v>34.74</v>
      </c>
      <c r="D55" s="17">
        <v>6334</v>
      </c>
      <c r="E55" s="35">
        <v>44169</v>
      </c>
      <c r="F55" s="39"/>
      <c r="G55" s="34"/>
      <c r="H55" s="34">
        <v>30</v>
      </c>
      <c r="I55" s="17" t="s">
        <v>30</v>
      </c>
      <c r="J55" s="17"/>
      <c r="K55" s="17"/>
      <c r="L55" s="17"/>
      <c r="M55" s="17"/>
      <c r="N55" s="17"/>
      <c r="O55" s="17"/>
    </row>
    <row r="56" spans="1:15" hidden="1" x14ac:dyDescent="0.25">
      <c r="A56" s="17" t="s">
        <v>15</v>
      </c>
      <c r="B56" s="34">
        <v>35.090000000000003</v>
      </c>
      <c r="C56" s="34">
        <v>34.74</v>
      </c>
      <c r="D56" s="17">
        <v>6084</v>
      </c>
      <c r="E56" s="35">
        <v>44169</v>
      </c>
      <c r="F56" s="39"/>
      <c r="G56" s="34"/>
      <c r="H56" s="34">
        <v>30</v>
      </c>
      <c r="I56" s="17" t="s">
        <v>30</v>
      </c>
      <c r="J56" s="17"/>
      <c r="K56" s="17"/>
      <c r="L56" s="17"/>
      <c r="M56" s="17"/>
      <c r="N56" s="17"/>
      <c r="O56" s="17"/>
    </row>
    <row r="57" spans="1:15" hidden="1" x14ac:dyDescent="0.25">
      <c r="A57" s="17" t="s">
        <v>15</v>
      </c>
      <c r="B57" s="34">
        <v>35.090000000000003</v>
      </c>
      <c r="C57" s="34">
        <v>34.74</v>
      </c>
      <c r="D57" s="17">
        <v>6411</v>
      </c>
      <c r="E57" s="35">
        <v>44169</v>
      </c>
      <c r="F57" s="39"/>
      <c r="G57" s="34"/>
      <c r="H57" s="34">
        <v>30</v>
      </c>
      <c r="I57" s="17" t="s">
        <v>30</v>
      </c>
      <c r="J57" s="17"/>
      <c r="K57" s="17"/>
      <c r="L57" s="17"/>
      <c r="M57" s="17"/>
      <c r="N57" s="17"/>
      <c r="O57" s="17"/>
    </row>
    <row r="58" spans="1:15" hidden="1" x14ac:dyDescent="0.25">
      <c r="A58" s="17" t="s">
        <v>42</v>
      </c>
      <c r="B58" s="34">
        <v>35.090000000000003</v>
      </c>
      <c r="C58" s="34">
        <v>34.74</v>
      </c>
      <c r="D58" s="17">
        <v>6509</v>
      </c>
      <c r="E58" s="35">
        <v>44170</v>
      </c>
      <c r="F58" s="39"/>
      <c r="G58" s="34"/>
      <c r="H58" s="34">
        <v>35.090000000000003</v>
      </c>
      <c r="I58" s="17" t="s">
        <v>30</v>
      </c>
      <c r="J58" s="17"/>
      <c r="K58" s="17"/>
      <c r="L58" s="17"/>
      <c r="M58" s="17"/>
      <c r="N58" s="17"/>
      <c r="O58" s="17"/>
    </row>
    <row r="59" spans="1:15" hidden="1" x14ac:dyDescent="0.25">
      <c r="A59" s="17" t="s">
        <v>13</v>
      </c>
      <c r="B59" s="34">
        <v>35.090000000000003</v>
      </c>
      <c r="C59" s="34">
        <v>34.74</v>
      </c>
      <c r="D59" s="17"/>
      <c r="E59" s="35">
        <v>44172</v>
      </c>
      <c r="F59" s="39">
        <v>200</v>
      </c>
      <c r="G59" s="34">
        <v>6948</v>
      </c>
      <c r="H59" s="34">
        <v>70.000000000000895</v>
      </c>
      <c r="I59" s="17" t="s">
        <v>30</v>
      </c>
      <c r="J59" s="17"/>
      <c r="K59" s="17"/>
      <c r="L59" s="17"/>
      <c r="M59" s="17"/>
      <c r="N59" s="17"/>
      <c r="O59" s="17"/>
    </row>
    <row r="60" spans="1:15" hidden="1" x14ac:dyDescent="0.25">
      <c r="A60" s="17" t="s">
        <v>15</v>
      </c>
      <c r="B60" s="34">
        <v>35.090000000000003</v>
      </c>
      <c r="C60" s="34">
        <v>34.74</v>
      </c>
      <c r="D60" s="17">
        <v>6367</v>
      </c>
      <c r="E60" s="35">
        <v>44172</v>
      </c>
      <c r="F60" s="39"/>
      <c r="G60" s="34"/>
      <c r="H60" s="34">
        <v>30</v>
      </c>
      <c r="I60" s="17" t="s">
        <v>30</v>
      </c>
      <c r="J60" s="17"/>
      <c r="K60" s="17"/>
      <c r="L60" s="17"/>
      <c r="M60" s="17"/>
      <c r="N60" s="17"/>
      <c r="O60" s="17"/>
    </row>
    <row r="61" spans="1:15" hidden="1" x14ac:dyDescent="0.25">
      <c r="A61" s="17" t="s">
        <v>53</v>
      </c>
      <c r="B61" s="34">
        <v>35.090000000000003</v>
      </c>
      <c r="C61" s="34">
        <v>34.74</v>
      </c>
      <c r="D61" s="17">
        <v>6519</v>
      </c>
      <c r="E61" s="35">
        <v>44172</v>
      </c>
      <c r="F61" s="39"/>
      <c r="G61" s="34"/>
      <c r="H61" s="34">
        <v>385.99</v>
      </c>
      <c r="I61" s="17" t="s">
        <v>30</v>
      </c>
      <c r="J61" s="17"/>
      <c r="K61" s="17"/>
      <c r="L61" s="17"/>
      <c r="M61" s="17"/>
      <c r="N61" s="17"/>
      <c r="O61" s="17"/>
    </row>
    <row r="62" spans="1:15" hidden="1" x14ac:dyDescent="0.25">
      <c r="A62" s="17" t="s">
        <v>13</v>
      </c>
      <c r="B62" s="34">
        <v>35.090000000000003</v>
      </c>
      <c r="C62" s="34">
        <v>34.74</v>
      </c>
      <c r="D62" s="17"/>
      <c r="E62" s="35">
        <v>44170</v>
      </c>
      <c r="F62" s="39">
        <v>150</v>
      </c>
      <c r="G62" s="34">
        <v>5211</v>
      </c>
      <c r="H62" s="34">
        <v>52.500000000000902</v>
      </c>
      <c r="I62" s="17" t="s">
        <v>30</v>
      </c>
      <c r="J62" s="17"/>
      <c r="K62" s="17"/>
      <c r="L62" s="17"/>
      <c r="M62" s="17"/>
      <c r="N62" s="17"/>
      <c r="O62" s="17"/>
    </row>
    <row r="63" spans="1:15" hidden="1" x14ac:dyDescent="0.25">
      <c r="A63" s="17" t="s">
        <v>15</v>
      </c>
      <c r="B63" s="34">
        <v>35.090000000000003</v>
      </c>
      <c r="C63" s="34">
        <v>34.74</v>
      </c>
      <c r="D63" s="17">
        <v>6323</v>
      </c>
      <c r="E63" s="35">
        <v>44172</v>
      </c>
      <c r="F63" s="39"/>
      <c r="G63" s="34"/>
      <c r="H63" s="34">
        <v>30</v>
      </c>
      <c r="I63" s="17" t="s">
        <v>30</v>
      </c>
      <c r="J63" s="17"/>
      <c r="K63" s="17"/>
      <c r="L63" s="17"/>
      <c r="M63" s="17"/>
      <c r="N63" s="17"/>
      <c r="O63" s="17"/>
    </row>
    <row r="64" spans="1:15" hidden="1" x14ac:dyDescent="0.25">
      <c r="A64" s="17" t="s">
        <v>42</v>
      </c>
      <c r="B64" s="34">
        <v>35.090000000000003</v>
      </c>
      <c r="C64" s="34">
        <v>34.74</v>
      </c>
      <c r="D64" s="43">
        <v>6518</v>
      </c>
      <c r="E64" s="35">
        <v>44172</v>
      </c>
      <c r="F64" s="39"/>
      <c r="G64" s="34"/>
      <c r="H64" s="34">
        <v>35</v>
      </c>
      <c r="I64" s="17" t="s">
        <v>30</v>
      </c>
      <c r="J64" s="17"/>
      <c r="K64" s="17"/>
      <c r="L64" s="17"/>
      <c r="M64" s="17"/>
      <c r="N64" s="17"/>
      <c r="O64" s="17"/>
    </row>
    <row r="65" spans="1:15" hidden="1" x14ac:dyDescent="0.25">
      <c r="A65" s="17" t="s">
        <v>42</v>
      </c>
      <c r="B65" s="34">
        <v>35.090000000000003</v>
      </c>
      <c r="C65" s="34">
        <v>34.74</v>
      </c>
      <c r="D65" s="43">
        <v>6520</v>
      </c>
      <c r="E65" s="35">
        <v>44172</v>
      </c>
      <c r="F65" s="39"/>
      <c r="G65" s="34"/>
      <c r="H65" s="34">
        <v>35</v>
      </c>
      <c r="I65" s="17" t="s">
        <v>30</v>
      </c>
      <c r="J65" s="17"/>
      <c r="K65" s="17"/>
      <c r="L65" s="17"/>
      <c r="M65" s="17"/>
      <c r="N65" s="17"/>
      <c r="O65" s="17"/>
    </row>
    <row r="66" spans="1:15" hidden="1" x14ac:dyDescent="0.25">
      <c r="A66" s="17" t="s">
        <v>13</v>
      </c>
      <c r="B66" s="34">
        <v>35.090000000000003</v>
      </c>
      <c r="C66" s="34">
        <v>34.74</v>
      </c>
      <c r="D66" s="17"/>
      <c r="E66" s="35">
        <v>44174</v>
      </c>
      <c r="F66" s="39">
        <v>130</v>
      </c>
      <c r="G66" s="34">
        <v>4516.2</v>
      </c>
      <c r="H66" s="34">
        <v>45.500000000000902</v>
      </c>
      <c r="I66" s="17" t="s">
        <v>30</v>
      </c>
      <c r="J66" s="17"/>
      <c r="K66" s="17"/>
      <c r="L66" s="17"/>
      <c r="M66" s="17"/>
      <c r="N66" s="17"/>
      <c r="O66" s="17"/>
    </row>
    <row r="67" spans="1:15" hidden="1" x14ac:dyDescent="0.25">
      <c r="A67" s="17" t="s">
        <v>13</v>
      </c>
      <c r="B67" s="34">
        <v>35.090000000000003</v>
      </c>
      <c r="C67" s="34">
        <v>34.74</v>
      </c>
      <c r="D67" s="17"/>
      <c r="E67" s="35">
        <v>44174</v>
      </c>
      <c r="F67" s="39">
        <v>20</v>
      </c>
      <c r="G67" s="34">
        <v>694.8</v>
      </c>
      <c r="H67" s="34">
        <v>7</v>
      </c>
      <c r="I67" s="17" t="s">
        <v>30</v>
      </c>
      <c r="J67" s="17"/>
      <c r="K67" s="17"/>
      <c r="L67" s="17"/>
      <c r="M67" s="17"/>
      <c r="N67" s="17"/>
      <c r="O67" s="17"/>
    </row>
    <row r="68" spans="1:15" hidden="1" x14ac:dyDescent="0.25">
      <c r="A68" s="17" t="s">
        <v>13</v>
      </c>
      <c r="B68" s="34">
        <v>35.090000000000003</v>
      </c>
      <c r="C68" s="34">
        <v>34.74</v>
      </c>
      <c r="D68" s="17"/>
      <c r="E68" s="35">
        <v>44174</v>
      </c>
      <c r="F68" s="39">
        <v>20</v>
      </c>
      <c r="G68" s="34">
        <v>694.8</v>
      </c>
      <c r="H68" s="34">
        <v>7</v>
      </c>
      <c r="I68" s="17" t="s">
        <v>30</v>
      </c>
      <c r="J68" s="17"/>
      <c r="K68" s="17"/>
      <c r="L68" s="17"/>
      <c r="M68" s="17"/>
      <c r="N68" s="17"/>
      <c r="O68" s="17"/>
    </row>
    <row r="69" spans="1:15" hidden="1" x14ac:dyDescent="0.25">
      <c r="A69" s="17" t="s">
        <v>53</v>
      </c>
      <c r="B69" s="34">
        <v>35.090000000000003</v>
      </c>
      <c r="C69" s="34">
        <v>34.74</v>
      </c>
      <c r="D69" s="17">
        <v>6528</v>
      </c>
      <c r="E69" s="35">
        <v>44175</v>
      </c>
      <c r="F69" s="39"/>
      <c r="G69" s="34"/>
      <c r="H69" s="34">
        <v>385.99</v>
      </c>
      <c r="I69" s="17" t="s">
        <v>30</v>
      </c>
      <c r="J69" s="17"/>
      <c r="K69" s="17"/>
      <c r="L69" s="17"/>
      <c r="M69" s="17"/>
      <c r="N69" s="17"/>
      <c r="O69" s="17"/>
    </row>
    <row r="70" spans="1:15" hidden="1" x14ac:dyDescent="0.25">
      <c r="A70" s="17" t="s">
        <v>13</v>
      </c>
      <c r="B70" s="34">
        <v>35.090000000000003</v>
      </c>
      <c r="C70" s="34">
        <v>34.74</v>
      </c>
      <c r="D70" s="17"/>
      <c r="E70" s="35">
        <v>44176</v>
      </c>
      <c r="F70" s="39">
        <v>20</v>
      </c>
      <c r="G70" s="34">
        <v>694.8</v>
      </c>
      <c r="H70" s="34">
        <v>7</v>
      </c>
      <c r="I70" s="17" t="s">
        <v>30</v>
      </c>
      <c r="J70" s="17"/>
      <c r="K70" s="17"/>
      <c r="L70" s="17"/>
      <c r="M70" s="17"/>
      <c r="N70" s="17"/>
      <c r="O70" s="17"/>
    </row>
    <row r="71" spans="1:15" hidden="1" x14ac:dyDescent="0.25">
      <c r="A71" s="17" t="s">
        <v>14</v>
      </c>
      <c r="B71" s="34">
        <v>35.090000000000003</v>
      </c>
      <c r="C71" s="34">
        <v>34.74</v>
      </c>
      <c r="D71" s="17">
        <v>6530</v>
      </c>
      <c r="E71" s="35">
        <v>44176</v>
      </c>
      <c r="F71" s="39"/>
      <c r="G71" s="34"/>
      <c r="H71" s="34">
        <v>205.99</v>
      </c>
      <c r="I71" s="17" t="s">
        <v>30</v>
      </c>
      <c r="J71" s="17"/>
      <c r="K71" s="17"/>
      <c r="L71" s="17"/>
      <c r="M71" s="17"/>
      <c r="N71" s="17"/>
      <c r="O71" s="17"/>
    </row>
    <row r="72" spans="1:15" hidden="1" x14ac:dyDescent="0.25">
      <c r="A72" s="17" t="s">
        <v>13</v>
      </c>
      <c r="B72" s="34">
        <v>35.090000000000003</v>
      </c>
      <c r="C72" s="34">
        <v>34.74</v>
      </c>
      <c r="D72" s="17"/>
      <c r="E72" s="35">
        <v>44177</v>
      </c>
      <c r="F72" s="39">
        <v>100</v>
      </c>
      <c r="G72" s="34">
        <v>3474</v>
      </c>
      <c r="H72" s="34">
        <v>35.000000000000497</v>
      </c>
      <c r="I72" s="17" t="s">
        <v>30</v>
      </c>
      <c r="J72" s="17"/>
      <c r="K72" s="17"/>
      <c r="L72" s="17"/>
      <c r="M72" s="17"/>
      <c r="N72" s="17"/>
      <c r="O72" s="17"/>
    </row>
    <row r="73" spans="1:15" hidden="1" x14ac:dyDescent="0.25">
      <c r="A73" s="17" t="s">
        <v>13</v>
      </c>
      <c r="B73" s="34">
        <v>35.090000000000003</v>
      </c>
      <c r="C73" s="34">
        <v>34.74</v>
      </c>
      <c r="D73" s="17"/>
      <c r="E73" s="35">
        <v>44177</v>
      </c>
      <c r="F73" s="39">
        <v>10</v>
      </c>
      <c r="G73" s="34">
        <v>347.4</v>
      </c>
      <c r="H73" s="34">
        <v>3.5</v>
      </c>
      <c r="I73" s="17" t="s">
        <v>30</v>
      </c>
      <c r="J73" s="17"/>
      <c r="K73" s="17"/>
      <c r="L73" s="17"/>
      <c r="M73" s="17"/>
      <c r="N73" s="17"/>
      <c r="O73" s="17"/>
    </row>
    <row r="74" spans="1:15" hidden="1" x14ac:dyDescent="0.25">
      <c r="A74" s="17" t="s">
        <v>13</v>
      </c>
      <c r="B74" s="34">
        <v>35.090000000000003</v>
      </c>
      <c r="C74" s="34">
        <v>34.74</v>
      </c>
      <c r="D74" s="17"/>
      <c r="E74" s="35">
        <v>44177</v>
      </c>
      <c r="F74" s="39">
        <v>70</v>
      </c>
      <c r="G74" s="34">
        <v>2431.8000000000002</v>
      </c>
      <c r="H74" s="34">
        <v>24.5</v>
      </c>
      <c r="I74" s="17" t="s">
        <v>30</v>
      </c>
      <c r="J74" s="17"/>
      <c r="K74" s="17"/>
      <c r="L74" s="17"/>
      <c r="M74" s="17"/>
      <c r="N74" s="17"/>
      <c r="O74" s="17"/>
    </row>
    <row r="75" spans="1:15" hidden="1" x14ac:dyDescent="0.25">
      <c r="A75" s="17" t="s">
        <v>13</v>
      </c>
      <c r="B75" s="34">
        <v>35.090000000000003</v>
      </c>
      <c r="C75" s="34">
        <v>34.74</v>
      </c>
      <c r="D75" s="17"/>
      <c r="E75" s="35">
        <v>44180</v>
      </c>
      <c r="F75" s="39">
        <v>20</v>
      </c>
      <c r="G75" s="34">
        <v>694.8</v>
      </c>
      <c r="H75" s="34">
        <v>7</v>
      </c>
      <c r="I75" s="17" t="s">
        <v>30</v>
      </c>
      <c r="J75" s="17"/>
      <c r="K75" s="17"/>
      <c r="L75" s="17"/>
      <c r="M75" s="17"/>
      <c r="N75" s="17"/>
      <c r="O75" s="17"/>
    </row>
    <row r="76" spans="1:15" hidden="1" x14ac:dyDescent="0.25">
      <c r="A76" s="17" t="s">
        <v>13</v>
      </c>
      <c r="B76" s="34">
        <v>35.090000000000003</v>
      </c>
      <c r="C76" s="34">
        <v>34.74</v>
      </c>
      <c r="D76" s="17"/>
      <c r="E76" s="35">
        <v>44180</v>
      </c>
      <c r="F76" s="39">
        <v>100</v>
      </c>
      <c r="G76" s="34">
        <v>3474</v>
      </c>
      <c r="H76" s="34">
        <v>35.000000000000497</v>
      </c>
      <c r="I76" s="17" t="s">
        <v>30</v>
      </c>
      <c r="J76" s="17"/>
      <c r="K76" s="17"/>
      <c r="L76" s="17"/>
      <c r="M76" s="17"/>
      <c r="N76" s="17"/>
      <c r="O76" s="17"/>
    </row>
    <row r="77" spans="1:15" hidden="1" x14ac:dyDescent="0.25">
      <c r="A77" s="17" t="s">
        <v>14</v>
      </c>
      <c r="B77" s="34">
        <v>35.090000000000003</v>
      </c>
      <c r="C77" s="34">
        <v>34.74</v>
      </c>
      <c r="D77" s="17">
        <v>6538</v>
      </c>
      <c r="E77" s="35">
        <v>44180</v>
      </c>
      <c r="F77" s="39"/>
      <c r="G77" s="34"/>
      <c r="H77" s="34">
        <v>205.99</v>
      </c>
      <c r="I77" s="17" t="s">
        <v>30</v>
      </c>
      <c r="J77" s="17"/>
      <c r="K77" s="17"/>
      <c r="L77" s="17"/>
      <c r="M77" s="17"/>
      <c r="N77" s="17"/>
      <c r="O77" s="17"/>
    </row>
    <row r="78" spans="1:15" hidden="1" x14ac:dyDescent="0.25">
      <c r="A78" s="17" t="s">
        <v>14</v>
      </c>
      <c r="B78" s="34">
        <v>35.090000000000003</v>
      </c>
      <c r="C78" s="34">
        <v>34.74</v>
      </c>
      <c r="D78" s="17">
        <v>6541</v>
      </c>
      <c r="E78" s="35">
        <v>44180</v>
      </c>
      <c r="F78" s="39"/>
      <c r="G78" s="34"/>
      <c r="H78" s="34">
        <v>205.99</v>
      </c>
      <c r="I78" s="17" t="s">
        <v>30</v>
      </c>
      <c r="J78" s="17"/>
      <c r="K78" s="17"/>
      <c r="L78" s="17"/>
      <c r="M78" s="17"/>
      <c r="N78" s="17"/>
      <c r="O78" s="17"/>
    </row>
    <row r="79" spans="1:15" hidden="1" x14ac:dyDescent="0.25">
      <c r="A79" s="17" t="s">
        <v>13</v>
      </c>
      <c r="B79" s="34">
        <v>35.090000000000003</v>
      </c>
      <c r="C79" s="34">
        <v>34.74</v>
      </c>
      <c r="D79" s="17"/>
      <c r="E79" s="35">
        <v>44181</v>
      </c>
      <c r="F79" s="39">
        <v>20</v>
      </c>
      <c r="G79" s="34">
        <v>694.8</v>
      </c>
      <c r="H79" s="34">
        <v>7</v>
      </c>
      <c r="I79" s="17" t="s">
        <v>30</v>
      </c>
      <c r="J79" s="17"/>
      <c r="K79" s="17"/>
      <c r="L79" s="17"/>
      <c r="M79" s="17"/>
      <c r="N79" s="17"/>
      <c r="O79" s="17"/>
    </row>
    <row r="80" spans="1:15" hidden="1" x14ac:dyDescent="0.25">
      <c r="A80" s="17" t="s">
        <v>13</v>
      </c>
      <c r="B80" s="34">
        <v>35.119999999999997</v>
      </c>
      <c r="C80" s="34">
        <v>34.770000000000003</v>
      </c>
      <c r="D80" s="17"/>
      <c r="E80" s="35">
        <v>44183</v>
      </c>
      <c r="F80" s="39">
        <v>100</v>
      </c>
      <c r="G80" s="34">
        <v>3477</v>
      </c>
      <c r="H80" s="34">
        <v>34.999999999999098</v>
      </c>
      <c r="I80" s="17" t="s">
        <v>30</v>
      </c>
      <c r="J80" s="17"/>
      <c r="K80" s="17"/>
      <c r="L80" s="17"/>
      <c r="M80" s="17"/>
      <c r="N80" s="17"/>
      <c r="O80" s="17"/>
    </row>
    <row r="81" spans="1:15" hidden="1" x14ac:dyDescent="0.25">
      <c r="A81" s="17" t="s">
        <v>42</v>
      </c>
      <c r="B81" s="34">
        <v>35.119999999999997</v>
      </c>
      <c r="C81" s="34">
        <v>34.770000000000003</v>
      </c>
      <c r="D81" s="17"/>
      <c r="E81" s="35">
        <v>44186</v>
      </c>
      <c r="F81" s="39"/>
      <c r="G81" s="34"/>
      <c r="H81" s="34">
        <v>35.119999999999997</v>
      </c>
      <c r="I81" s="17" t="s">
        <v>30</v>
      </c>
      <c r="J81" s="17"/>
      <c r="K81" s="17"/>
      <c r="L81" s="17"/>
      <c r="M81" s="17"/>
      <c r="N81" s="17"/>
      <c r="O81" s="17"/>
    </row>
    <row r="82" spans="1:15" hidden="1" x14ac:dyDescent="0.25">
      <c r="A82" s="17" t="s">
        <v>14</v>
      </c>
      <c r="B82" s="34">
        <v>35.119999999999997</v>
      </c>
      <c r="C82" s="34">
        <v>34.770000000000003</v>
      </c>
      <c r="D82" s="17">
        <v>6561</v>
      </c>
      <c r="E82" s="35">
        <v>44186</v>
      </c>
      <c r="F82" s="39"/>
      <c r="G82" s="34"/>
      <c r="H82" s="34">
        <v>206.32</v>
      </c>
      <c r="I82" s="17" t="s">
        <v>30</v>
      </c>
      <c r="J82" s="17"/>
      <c r="K82" s="17"/>
      <c r="L82" s="17"/>
      <c r="M82" s="17"/>
      <c r="N82" s="17"/>
      <c r="O82" s="17"/>
    </row>
    <row r="83" spans="1:15" hidden="1" x14ac:dyDescent="0.25">
      <c r="A83" s="17" t="s">
        <v>59</v>
      </c>
      <c r="B83" s="34">
        <v>35.119999999999997</v>
      </c>
      <c r="C83" s="34">
        <v>34.770000000000003</v>
      </c>
      <c r="D83" s="17">
        <v>6468</v>
      </c>
      <c r="E83" s="35">
        <v>44186</v>
      </c>
      <c r="F83" s="39"/>
      <c r="G83" s="34"/>
      <c r="H83" s="34">
        <v>-180</v>
      </c>
      <c r="I83" s="17" t="s">
        <v>30</v>
      </c>
      <c r="J83" s="17"/>
      <c r="K83" s="17"/>
      <c r="L83" s="17"/>
      <c r="M83" s="17"/>
      <c r="N83" s="17"/>
      <c r="O83" s="17"/>
    </row>
    <row r="84" spans="1:15" hidden="1" x14ac:dyDescent="0.25">
      <c r="A84" s="17" t="s">
        <v>13</v>
      </c>
      <c r="B84" s="34">
        <v>35.119999999999997</v>
      </c>
      <c r="C84" s="34">
        <v>34.770000000000003</v>
      </c>
      <c r="D84" s="17"/>
      <c r="E84" s="35">
        <v>44186</v>
      </c>
      <c r="F84" s="39">
        <v>10</v>
      </c>
      <c r="G84" s="34">
        <v>347.7</v>
      </c>
      <c r="H84" s="34">
        <v>3.49999999999994</v>
      </c>
      <c r="I84" s="17" t="s">
        <v>30</v>
      </c>
      <c r="J84" s="17"/>
      <c r="K84" s="17"/>
      <c r="L84" s="17"/>
      <c r="M84" s="17"/>
      <c r="N84" s="17"/>
      <c r="O84" s="17"/>
    </row>
    <row r="85" spans="1:15" hidden="1" x14ac:dyDescent="0.25">
      <c r="A85" s="17" t="s">
        <v>13</v>
      </c>
      <c r="B85" s="34">
        <v>35.119999999999997</v>
      </c>
      <c r="C85" s="34">
        <v>34.770000000000003</v>
      </c>
      <c r="D85" s="17"/>
      <c r="E85" s="35">
        <v>44187</v>
      </c>
      <c r="F85" s="39">
        <v>40</v>
      </c>
      <c r="G85" s="34">
        <v>1390.8</v>
      </c>
      <c r="H85" s="34">
        <v>13.999999999999799</v>
      </c>
      <c r="I85" s="17" t="s">
        <v>30</v>
      </c>
      <c r="J85" s="17"/>
      <c r="K85" s="17"/>
      <c r="L85" s="17"/>
      <c r="M85" s="17"/>
      <c r="N85" s="17"/>
      <c r="O85" s="17"/>
    </row>
    <row r="86" spans="1:15" hidden="1" x14ac:dyDescent="0.25">
      <c r="A86" s="17" t="s">
        <v>13</v>
      </c>
      <c r="B86" s="34">
        <v>35.119999999999997</v>
      </c>
      <c r="C86" s="34">
        <v>34.770000000000003</v>
      </c>
      <c r="D86" s="17"/>
      <c r="E86" s="35">
        <v>44187</v>
      </c>
      <c r="F86" s="39">
        <v>20</v>
      </c>
      <c r="G86" s="34">
        <v>695.4</v>
      </c>
      <c r="H86" s="34">
        <v>6.9999999999998899</v>
      </c>
      <c r="I86" s="17" t="s">
        <v>30</v>
      </c>
      <c r="J86" s="17"/>
      <c r="K86" s="17"/>
      <c r="L86" s="17"/>
      <c r="M86" s="17"/>
      <c r="N86" s="17"/>
      <c r="O86" s="17"/>
    </row>
    <row r="87" spans="1:15" hidden="1" x14ac:dyDescent="0.25">
      <c r="A87" s="17" t="s">
        <v>14</v>
      </c>
      <c r="B87" s="34">
        <v>35.119999999999997</v>
      </c>
      <c r="C87" s="34">
        <v>34.770000000000003</v>
      </c>
      <c r="D87" s="17">
        <v>6572</v>
      </c>
      <c r="E87" s="35">
        <v>44187</v>
      </c>
      <c r="F87" s="39"/>
      <c r="G87" s="34"/>
      <c r="H87" s="34">
        <v>206.32</v>
      </c>
      <c r="I87" s="17" t="s">
        <v>30</v>
      </c>
      <c r="J87" s="17"/>
      <c r="K87" s="17"/>
      <c r="L87" s="17"/>
      <c r="M87" s="17"/>
      <c r="N87" s="17"/>
      <c r="O87" s="17"/>
    </row>
    <row r="88" spans="1:15" hidden="1" x14ac:dyDescent="0.25">
      <c r="A88" s="17" t="s">
        <v>13</v>
      </c>
      <c r="B88" s="34">
        <v>35.15</v>
      </c>
      <c r="C88" s="34">
        <v>34.799999999999997</v>
      </c>
      <c r="D88" s="17"/>
      <c r="E88" s="35">
        <v>44188</v>
      </c>
      <c r="F88" s="39">
        <v>30</v>
      </c>
      <c r="G88" s="34">
        <v>1044</v>
      </c>
      <c r="H88" s="34">
        <v>10.5</v>
      </c>
      <c r="I88" s="17" t="s">
        <v>30</v>
      </c>
      <c r="J88" s="17"/>
      <c r="K88" s="17"/>
      <c r="L88" s="17"/>
      <c r="M88" s="17"/>
      <c r="N88" s="17"/>
      <c r="O88" s="17"/>
    </row>
    <row r="89" spans="1:15" hidden="1" x14ac:dyDescent="0.25">
      <c r="A89" s="17" t="s">
        <v>15</v>
      </c>
      <c r="B89" s="34">
        <v>35.15</v>
      </c>
      <c r="C89" s="34">
        <v>34.799999999999997</v>
      </c>
      <c r="D89" s="17">
        <v>6167</v>
      </c>
      <c r="E89" s="35">
        <v>44188</v>
      </c>
      <c r="F89" s="39"/>
      <c r="G89" s="34"/>
      <c r="H89" s="34">
        <v>30</v>
      </c>
      <c r="I89" s="17"/>
      <c r="J89" s="17"/>
      <c r="K89" s="17"/>
      <c r="L89" s="17"/>
      <c r="M89" s="17"/>
      <c r="N89" s="17"/>
      <c r="O89" s="17"/>
    </row>
    <row r="90" spans="1:15" hidden="1" x14ac:dyDescent="0.25">
      <c r="A90" s="17" t="s">
        <v>42</v>
      </c>
      <c r="B90" s="34">
        <v>35.15</v>
      </c>
      <c r="C90" s="34">
        <v>34.799999999999997</v>
      </c>
      <c r="D90" s="17">
        <v>6302</v>
      </c>
      <c r="E90" s="35">
        <v>44191</v>
      </c>
      <c r="F90" s="39"/>
      <c r="G90" s="34"/>
      <c r="H90" s="34">
        <v>35.15</v>
      </c>
      <c r="I90" s="17" t="s">
        <v>30</v>
      </c>
      <c r="J90" s="17"/>
      <c r="K90" s="17"/>
      <c r="L90" s="17"/>
      <c r="M90" s="17"/>
      <c r="N90" s="17"/>
      <c r="O90" s="17"/>
    </row>
    <row r="91" spans="1:15" hidden="1" x14ac:dyDescent="0.25">
      <c r="A91" s="17" t="s">
        <v>13</v>
      </c>
      <c r="B91" s="34">
        <v>35.15</v>
      </c>
      <c r="C91" s="34">
        <v>34.799999999999997</v>
      </c>
      <c r="D91" s="17"/>
      <c r="E91" s="35">
        <v>44191</v>
      </c>
      <c r="F91" s="39">
        <v>40</v>
      </c>
      <c r="G91" s="34">
        <v>1392</v>
      </c>
      <c r="H91" s="34">
        <v>14</v>
      </c>
      <c r="I91" s="17" t="s">
        <v>30</v>
      </c>
      <c r="J91" s="17"/>
      <c r="K91" s="17"/>
      <c r="L91" s="17"/>
      <c r="M91" s="17"/>
      <c r="N91" s="17"/>
      <c r="O91" s="17"/>
    </row>
    <row r="92" spans="1:15" hidden="1" x14ac:dyDescent="0.25">
      <c r="A92" s="17" t="s">
        <v>53</v>
      </c>
      <c r="B92" s="34">
        <v>35.15</v>
      </c>
      <c r="C92" s="34">
        <v>34.799999999999997</v>
      </c>
      <c r="D92" s="17">
        <v>6592</v>
      </c>
      <c r="E92" s="35">
        <v>44193</v>
      </c>
      <c r="F92" s="39"/>
      <c r="G92" s="34"/>
      <c r="H92" s="34">
        <v>386.65</v>
      </c>
      <c r="I92" s="17" t="s">
        <v>30</v>
      </c>
      <c r="J92" s="17"/>
      <c r="K92" s="17"/>
      <c r="L92" s="17"/>
      <c r="M92" s="17"/>
      <c r="N92" s="17"/>
      <c r="O92" s="17"/>
    </row>
    <row r="93" spans="1:15" hidden="1" x14ac:dyDescent="0.25">
      <c r="A93" s="17" t="s">
        <v>42</v>
      </c>
      <c r="B93" s="34">
        <v>35.15</v>
      </c>
      <c r="C93" s="34">
        <v>34.799999999999997</v>
      </c>
      <c r="D93" s="17">
        <v>6472</v>
      </c>
      <c r="E93" s="35">
        <v>44193</v>
      </c>
      <c r="F93" s="39"/>
      <c r="G93" s="34"/>
      <c r="H93" s="34">
        <v>35.15</v>
      </c>
      <c r="I93" s="17" t="s">
        <v>30</v>
      </c>
      <c r="J93" s="17"/>
      <c r="K93" s="17"/>
      <c r="L93" s="17"/>
      <c r="M93" s="17"/>
      <c r="N93" s="17"/>
      <c r="O93" s="17"/>
    </row>
    <row r="94" spans="1:15" hidden="1" x14ac:dyDescent="0.25">
      <c r="A94" s="17" t="s">
        <v>59</v>
      </c>
      <c r="B94" s="34">
        <v>35.15</v>
      </c>
      <c r="C94" s="34">
        <v>34.799999999999997</v>
      </c>
      <c r="D94" s="17"/>
      <c r="E94" s="35">
        <v>44193</v>
      </c>
      <c r="F94" s="39"/>
      <c r="G94" s="34"/>
      <c r="H94" s="34">
        <v>-180</v>
      </c>
      <c r="I94" s="17" t="s">
        <v>30</v>
      </c>
      <c r="J94" s="17"/>
      <c r="K94" s="17"/>
      <c r="L94" s="17"/>
      <c r="M94" s="17"/>
      <c r="N94" s="17"/>
      <c r="O94" s="17"/>
    </row>
    <row r="95" spans="1:15" hidden="1" x14ac:dyDescent="0.25">
      <c r="A95" s="17" t="s">
        <v>14</v>
      </c>
      <c r="B95" s="34">
        <v>35.15</v>
      </c>
      <c r="C95" s="34">
        <v>34.799999999999997</v>
      </c>
      <c r="D95" s="17">
        <v>6596</v>
      </c>
      <c r="E95" s="35">
        <v>44193</v>
      </c>
      <c r="F95" s="39"/>
      <c r="G95" s="34"/>
      <c r="H95" s="34">
        <v>206.65</v>
      </c>
      <c r="I95" s="17" t="s">
        <v>30</v>
      </c>
      <c r="J95" s="17"/>
      <c r="K95" s="17"/>
      <c r="L95" s="17"/>
      <c r="M95" s="17"/>
      <c r="N95" s="17"/>
      <c r="O95" s="17"/>
    </row>
    <row r="96" spans="1:15" hidden="1" x14ac:dyDescent="0.25">
      <c r="A96" s="17" t="s">
        <v>15</v>
      </c>
      <c r="B96" s="34">
        <v>35.15</v>
      </c>
      <c r="C96" s="34">
        <v>34.799999999999997</v>
      </c>
      <c r="D96" s="17">
        <v>6189</v>
      </c>
      <c r="E96" s="35">
        <v>44194</v>
      </c>
      <c r="F96" s="39"/>
      <c r="G96" s="34"/>
      <c r="H96" s="34">
        <v>30</v>
      </c>
      <c r="I96" s="17" t="s">
        <v>31</v>
      </c>
      <c r="J96" s="17"/>
      <c r="K96" s="17"/>
      <c r="L96" s="17"/>
      <c r="M96" s="17"/>
      <c r="N96" s="17"/>
      <c r="O96" s="17"/>
    </row>
    <row r="97" spans="1:15" hidden="1" x14ac:dyDescent="0.25">
      <c r="A97" s="17" t="s">
        <v>42</v>
      </c>
      <c r="B97" s="34">
        <v>35.15</v>
      </c>
      <c r="C97" s="34">
        <v>34.799999999999997</v>
      </c>
      <c r="D97" s="17">
        <v>6189</v>
      </c>
      <c r="E97" s="35">
        <v>44194</v>
      </c>
      <c r="F97" s="39"/>
      <c r="G97" s="34"/>
      <c r="H97" s="34">
        <v>35.15</v>
      </c>
      <c r="I97" s="17" t="s">
        <v>31</v>
      </c>
      <c r="J97" s="17"/>
      <c r="K97" s="17"/>
      <c r="L97" s="17"/>
      <c r="M97" s="17"/>
      <c r="N97" s="17"/>
      <c r="O97" s="17"/>
    </row>
    <row r="98" spans="1:15" hidden="1" x14ac:dyDescent="0.25">
      <c r="A98" s="17" t="s">
        <v>13</v>
      </c>
      <c r="B98" s="34">
        <v>35.15</v>
      </c>
      <c r="C98" s="34">
        <v>34.799999999999997</v>
      </c>
      <c r="D98" s="17"/>
      <c r="E98" s="35">
        <v>44194</v>
      </c>
      <c r="F98" s="39">
        <v>20</v>
      </c>
      <c r="G98" s="34">
        <v>696</v>
      </c>
      <c r="H98" s="34">
        <v>7</v>
      </c>
      <c r="I98" s="17" t="s">
        <v>30</v>
      </c>
      <c r="J98" s="17"/>
      <c r="K98" s="17"/>
      <c r="L98" s="17"/>
      <c r="M98" s="17"/>
      <c r="N98" s="17"/>
      <c r="O98" s="17"/>
    </row>
    <row r="99" spans="1:15" hidden="1" x14ac:dyDescent="0.25">
      <c r="A99" s="17" t="s">
        <v>14</v>
      </c>
      <c r="B99" s="34">
        <v>35.15</v>
      </c>
      <c r="C99" s="34">
        <v>34.799999999999997</v>
      </c>
      <c r="D99" s="17">
        <v>6607</v>
      </c>
      <c r="E99" s="35">
        <v>44194</v>
      </c>
      <c r="F99" s="39"/>
      <c r="G99" s="34"/>
      <c r="H99" s="34">
        <v>246.05</v>
      </c>
      <c r="I99" s="17" t="s">
        <v>30</v>
      </c>
      <c r="J99" s="17"/>
      <c r="K99" s="17"/>
      <c r="L99" s="17"/>
      <c r="M99" s="17"/>
      <c r="N99" s="17"/>
      <c r="O99" s="17"/>
    </row>
    <row r="100" spans="1:15" hidden="1" x14ac:dyDescent="0.25">
      <c r="A100" s="17" t="s">
        <v>13</v>
      </c>
      <c r="B100" s="34">
        <v>35.15</v>
      </c>
      <c r="C100" s="34">
        <v>34.799999999999997</v>
      </c>
      <c r="D100" s="17"/>
      <c r="E100" s="35">
        <v>44195</v>
      </c>
      <c r="F100" s="39">
        <v>100</v>
      </c>
      <c r="G100" s="34">
        <v>3480</v>
      </c>
      <c r="H100" s="34">
        <v>35.000000000000497</v>
      </c>
      <c r="I100" s="17" t="s">
        <v>30</v>
      </c>
      <c r="J100" s="17"/>
      <c r="K100" s="17"/>
      <c r="L100" s="17"/>
      <c r="M100" s="17"/>
      <c r="N100" s="17"/>
      <c r="O100" s="17"/>
    </row>
    <row r="101" spans="1:15" hidden="1" x14ac:dyDescent="0.25">
      <c r="A101" s="17" t="s">
        <v>60</v>
      </c>
      <c r="B101" s="34">
        <v>35.15</v>
      </c>
      <c r="C101" s="34">
        <v>34.450000000000003</v>
      </c>
      <c r="D101" s="17"/>
      <c r="E101" s="35">
        <v>44195</v>
      </c>
      <c r="F101" s="39">
        <v>600</v>
      </c>
      <c r="G101" s="34"/>
      <c r="H101" s="34">
        <v>-420</v>
      </c>
      <c r="I101" s="17" t="s">
        <v>30</v>
      </c>
      <c r="J101" s="17"/>
      <c r="K101" s="17"/>
      <c r="L101" s="17"/>
      <c r="M101" s="17"/>
      <c r="N101" s="17"/>
      <c r="O101" s="17"/>
    </row>
    <row r="102" spans="1:15" hidden="1" x14ac:dyDescent="0.25">
      <c r="A102" s="17" t="s">
        <v>13</v>
      </c>
      <c r="B102" s="34">
        <v>35.200000000000003</v>
      </c>
      <c r="C102" s="34">
        <v>34.85</v>
      </c>
      <c r="D102" s="17"/>
      <c r="E102" s="35">
        <v>44196</v>
      </c>
      <c r="F102" s="39">
        <v>50</v>
      </c>
      <c r="G102" s="34">
        <v>1742.5</v>
      </c>
      <c r="H102" s="34">
        <v>17.500000000000199</v>
      </c>
      <c r="I102" s="17" t="s">
        <v>30</v>
      </c>
      <c r="J102" s="17"/>
      <c r="K102" s="17"/>
      <c r="L102" s="17"/>
      <c r="M102" s="17"/>
      <c r="N102" s="17"/>
      <c r="O102" s="17"/>
    </row>
    <row r="103" spans="1:15" hidden="1" x14ac:dyDescent="0.25">
      <c r="A103" s="17" t="s">
        <v>13</v>
      </c>
      <c r="B103" s="34">
        <v>35.200000000000003</v>
      </c>
      <c r="C103" s="34">
        <v>34.85</v>
      </c>
      <c r="D103" s="17"/>
      <c r="E103" s="35">
        <v>44200</v>
      </c>
      <c r="F103" s="39">
        <v>40</v>
      </c>
      <c r="G103" s="34">
        <v>1394</v>
      </c>
      <c r="H103" s="34">
        <v>14</v>
      </c>
      <c r="I103" s="17" t="s">
        <v>30</v>
      </c>
      <c r="J103" s="17"/>
      <c r="K103" s="17"/>
      <c r="L103" s="17"/>
      <c r="M103" s="17"/>
      <c r="N103" s="17"/>
      <c r="O103" s="17"/>
    </row>
    <row r="104" spans="1:15" hidden="1" x14ac:dyDescent="0.25">
      <c r="A104" s="17" t="s">
        <v>13</v>
      </c>
      <c r="B104" s="34">
        <v>35.200000000000003</v>
      </c>
      <c r="C104" s="34">
        <v>34.85</v>
      </c>
      <c r="D104" s="17"/>
      <c r="E104" s="35">
        <v>44200</v>
      </c>
      <c r="F104" s="39">
        <v>20</v>
      </c>
      <c r="G104" s="34">
        <v>697</v>
      </c>
      <c r="H104" s="34">
        <v>7</v>
      </c>
      <c r="I104" s="17" t="s">
        <v>30</v>
      </c>
      <c r="J104" s="17"/>
      <c r="K104" s="17"/>
      <c r="L104" s="17"/>
      <c r="M104" s="17"/>
      <c r="N104" s="17"/>
      <c r="O104" s="17"/>
    </row>
    <row r="105" spans="1:15" hidden="1" x14ac:dyDescent="0.25">
      <c r="A105" s="17" t="s">
        <v>13</v>
      </c>
      <c r="B105" s="34">
        <v>35.200000000000003</v>
      </c>
      <c r="C105" s="34">
        <v>34.85</v>
      </c>
      <c r="D105" s="17"/>
      <c r="E105" s="35">
        <v>44201</v>
      </c>
      <c r="F105" s="39">
        <v>35</v>
      </c>
      <c r="G105" s="34">
        <v>1219.75</v>
      </c>
      <c r="H105" s="34">
        <v>12.25</v>
      </c>
      <c r="I105" s="17" t="s">
        <v>30</v>
      </c>
      <c r="J105" s="17"/>
      <c r="K105" s="17"/>
      <c r="L105" s="17"/>
      <c r="M105" s="17"/>
      <c r="N105" s="17"/>
      <c r="O105" s="17"/>
    </row>
    <row r="106" spans="1:15" hidden="1" x14ac:dyDescent="0.25">
      <c r="A106" s="17" t="s">
        <v>13</v>
      </c>
      <c r="B106" s="34">
        <v>35.200000000000003</v>
      </c>
      <c r="C106" s="34">
        <v>34.85</v>
      </c>
      <c r="D106" s="17"/>
      <c r="E106" s="35">
        <v>44202</v>
      </c>
      <c r="F106" s="39">
        <v>20</v>
      </c>
      <c r="G106" s="34">
        <v>697</v>
      </c>
      <c r="H106" s="34">
        <v>7</v>
      </c>
      <c r="I106" s="17" t="s">
        <v>30</v>
      </c>
      <c r="J106" s="17"/>
      <c r="K106" s="17"/>
      <c r="L106" s="17"/>
      <c r="M106" s="17"/>
      <c r="N106" s="17"/>
      <c r="O106" s="17"/>
    </row>
    <row r="107" spans="1:15" hidden="1" x14ac:dyDescent="0.25">
      <c r="A107" s="17" t="s">
        <v>14</v>
      </c>
      <c r="B107" s="34">
        <v>35.200000000000003</v>
      </c>
      <c r="C107" s="34">
        <v>34.85</v>
      </c>
      <c r="D107" s="17">
        <v>6663</v>
      </c>
      <c r="E107" s="35">
        <v>44204</v>
      </c>
      <c r="F107" s="39"/>
      <c r="G107" s="34"/>
      <c r="H107" s="34">
        <v>207.2</v>
      </c>
      <c r="I107" s="17" t="s">
        <v>30</v>
      </c>
      <c r="J107" s="17"/>
      <c r="K107" s="17"/>
      <c r="L107" s="17"/>
      <c r="M107" s="17"/>
      <c r="N107" s="17"/>
      <c r="O107" s="17"/>
    </row>
    <row r="108" spans="1:15" hidden="1" x14ac:dyDescent="0.25">
      <c r="A108" s="17" t="s">
        <v>15</v>
      </c>
      <c r="B108" s="34">
        <v>35.200000000000003</v>
      </c>
      <c r="C108" s="34">
        <v>34.85</v>
      </c>
      <c r="D108" s="17">
        <v>6639</v>
      </c>
      <c r="E108" s="35">
        <v>44204</v>
      </c>
      <c r="F108" s="39"/>
      <c r="G108" s="34"/>
      <c r="H108" s="34">
        <v>30</v>
      </c>
      <c r="I108" s="17" t="s">
        <v>30</v>
      </c>
      <c r="J108" s="17"/>
      <c r="K108" s="17"/>
      <c r="L108" s="17"/>
      <c r="M108" s="17"/>
      <c r="N108" s="17"/>
      <c r="O108" s="17"/>
    </row>
    <row r="109" spans="1:15" hidden="1" x14ac:dyDescent="0.25">
      <c r="A109" s="17" t="s">
        <v>15</v>
      </c>
      <c r="B109" s="34">
        <v>35.200000000000003</v>
      </c>
      <c r="C109" s="34">
        <v>34.85</v>
      </c>
      <c r="D109" s="17">
        <v>6511</v>
      </c>
      <c r="E109" s="35">
        <v>44207</v>
      </c>
      <c r="F109" s="39"/>
      <c r="G109" s="34"/>
      <c r="H109" s="34">
        <v>30</v>
      </c>
      <c r="I109" s="17" t="s">
        <v>30</v>
      </c>
      <c r="J109" s="17"/>
      <c r="K109" s="17"/>
      <c r="L109" s="17"/>
      <c r="M109" s="17"/>
      <c r="N109" s="17"/>
      <c r="O109" s="17"/>
    </row>
    <row r="110" spans="1:15" hidden="1" x14ac:dyDescent="0.25">
      <c r="A110" s="17" t="s">
        <v>15</v>
      </c>
      <c r="B110" s="34">
        <v>35.200000000000003</v>
      </c>
      <c r="C110" s="34">
        <v>34.85</v>
      </c>
      <c r="D110" s="17">
        <v>6612</v>
      </c>
      <c r="E110" s="35">
        <v>44207</v>
      </c>
      <c r="F110" s="39"/>
      <c r="G110" s="34"/>
      <c r="H110" s="34">
        <v>30</v>
      </c>
      <c r="I110" s="17" t="s">
        <v>30</v>
      </c>
      <c r="J110" s="17"/>
      <c r="K110" s="17"/>
      <c r="L110" s="17"/>
      <c r="M110" s="17"/>
      <c r="N110" s="17"/>
      <c r="O110" s="17"/>
    </row>
    <row r="111" spans="1:15" hidden="1" x14ac:dyDescent="0.25">
      <c r="A111" s="17" t="s">
        <v>13</v>
      </c>
      <c r="B111" s="34">
        <v>35.200000000000003</v>
      </c>
      <c r="C111" s="34">
        <v>34.85</v>
      </c>
      <c r="D111" s="17"/>
      <c r="E111" s="35">
        <v>44208</v>
      </c>
      <c r="F111" s="39">
        <v>20</v>
      </c>
      <c r="G111" s="34">
        <v>697</v>
      </c>
      <c r="H111" s="34">
        <v>7</v>
      </c>
      <c r="I111" s="17" t="s">
        <v>30</v>
      </c>
      <c r="J111" s="17"/>
      <c r="K111" s="17"/>
      <c r="L111" s="17"/>
      <c r="M111" s="17"/>
      <c r="N111" s="17"/>
      <c r="O111" s="17"/>
    </row>
    <row r="112" spans="1:15" hidden="1" x14ac:dyDescent="0.25">
      <c r="A112" s="17" t="s">
        <v>15</v>
      </c>
      <c r="B112" s="34">
        <v>35.200000000000003</v>
      </c>
      <c r="C112" s="34">
        <v>34.85</v>
      </c>
      <c r="D112" s="17">
        <v>6634</v>
      </c>
      <c r="E112" s="35">
        <v>44208</v>
      </c>
      <c r="F112" s="39"/>
      <c r="G112" s="34"/>
      <c r="H112" s="34">
        <v>30</v>
      </c>
      <c r="I112" s="17" t="s">
        <v>30</v>
      </c>
      <c r="J112" s="17"/>
      <c r="K112" s="17"/>
      <c r="L112" s="17"/>
      <c r="M112" s="17"/>
      <c r="N112" s="17"/>
      <c r="O112" s="17"/>
    </row>
    <row r="113" spans="1:15" hidden="1" x14ac:dyDescent="0.25">
      <c r="A113" s="17" t="s">
        <v>15</v>
      </c>
      <c r="B113" s="34">
        <v>35.200000000000003</v>
      </c>
      <c r="C113" s="34">
        <v>34.85</v>
      </c>
      <c r="D113" s="17">
        <v>6404</v>
      </c>
      <c r="E113" s="35">
        <v>44209</v>
      </c>
      <c r="F113" s="39"/>
      <c r="G113" s="34"/>
      <c r="H113" s="34">
        <v>30</v>
      </c>
      <c r="I113" s="17" t="s">
        <v>30</v>
      </c>
      <c r="J113" s="17"/>
      <c r="K113" s="17"/>
      <c r="L113" s="17"/>
      <c r="M113" s="17"/>
      <c r="N113" s="17"/>
      <c r="O113" s="17"/>
    </row>
    <row r="114" spans="1:15" hidden="1" x14ac:dyDescent="0.25">
      <c r="A114" s="17" t="s">
        <v>42</v>
      </c>
      <c r="B114" s="34">
        <v>35.200000000000003</v>
      </c>
      <c r="C114" s="34">
        <v>34.85</v>
      </c>
      <c r="D114" s="17">
        <v>6533</v>
      </c>
      <c r="E114" s="35">
        <v>44210</v>
      </c>
      <c r="F114" s="39"/>
      <c r="G114" s="34"/>
      <c r="H114" s="34">
        <v>35.200000000000003</v>
      </c>
      <c r="I114" s="17" t="s">
        <v>30</v>
      </c>
      <c r="J114" s="17"/>
      <c r="K114" s="17"/>
      <c r="L114" s="17"/>
      <c r="M114" s="17"/>
      <c r="N114" s="17"/>
      <c r="O114" s="17"/>
    </row>
    <row r="115" spans="1:15" hidden="1" x14ac:dyDescent="0.25">
      <c r="A115" s="17" t="s">
        <v>14</v>
      </c>
      <c r="B115" s="34">
        <v>35.200000000000003</v>
      </c>
      <c r="C115" s="34">
        <v>34.85</v>
      </c>
      <c r="D115" s="17">
        <v>6697</v>
      </c>
      <c r="E115" s="35">
        <v>44210</v>
      </c>
      <c r="F115" s="39"/>
      <c r="G115" s="34"/>
      <c r="H115" s="34">
        <v>207.2</v>
      </c>
      <c r="I115" s="17" t="s">
        <v>30</v>
      </c>
      <c r="J115" s="17"/>
      <c r="K115" s="17"/>
      <c r="L115" s="17"/>
      <c r="M115" s="17"/>
      <c r="N115" s="17"/>
      <c r="O115" s="17"/>
    </row>
    <row r="116" spans="1:15" hidden="1" x14ac:dyDescent="0.25">
      <c r="A116" s="17" t="s">
        <v>15</v>
      </c>
      <c r="B116" s="34">
        <v>35.25</v>
      </c>
      <c r="C116" s="34">
        <v>34.9</v>
      </c>
      <c r="D116" s="17">
        <v>6490</v>
      </c>
      <c r="E116" s="35">
        <v>44211</v>
      </c>
      <c r="F116" s="39"/>
      <c r="G116" s="34"/>
      <c r="H116" s="34">
        <v>30</v>
      </c>
      <c r="I116" s="17" t="s">
        <v>30</v>
      </c>
      <c r="J116" s="17"/>
      <c r="K116" s="17"/>
      <c r="L116" s="17"/>
      <c r="M116" s="17"/>
      <c r="N116" s="17"/>
      <c r="O116" s="17"/>
    </row>
    <row r="117" spans="1:15" hidden="1" x14ac:dyDescent="0.25">
      <c r="A117" s="17" t="s">
        <v>13</v>
      </c>
      <c r="B117" s="34">
        <v>35.25</v>
      </c>
      <c r="C117" s="34">
        <v>34.9</v>
      </c>
      <c r="D117" s="17"/>
      <c r="E117" s="35">
        <v>44214</v>
      </c>
      <c r="F117" s="39">
        <v>40</v>
      </c>
      <c r="G117" s="34">
        <v>1396</v>
      </c>
      <c r="H117" s="34">
        <v>14</v>
      </c>
      <c r="I117" s="17" t="s">
        <v>30</v>
      </c>
      <c r="J117" s="17"/>
      <c r="K117" s="17"/>
      <c r="L117" s="17"/>
      <c r="M117" s="17"/>
      <c r="N117" s="17"/>
      <c r="O117" s="17"/>
    </row>
    <row r="118" spans="1:15" hidden="1" x14ac:dyDescent="0.25">
      <c r="A118" s="17" t="s">
        <v>13</v>
      </c>
      <c r="B118" s="34">
        <v>35.25</v>
      </c>
      <c r="C118" s="34">
        <v>34.9</v>
      </c>
      <c r="D118" s="17"/>
      <c r="E118" s="35">
        <v>44214</v>
      </c>
      <c r="F118" s="39">
        <v>7</v>
      </c>
      <c r="G118" s="34">
        <v>244.3</v>
      </c>
      <c r="H118" s="34">
        <v>2.4500000000000202</v>
      </c>
      <c r="I118" s="17" t="s">
        <v>30</v>
      </c>
      <c r="J118" s="17"/>
      <c r="K118" s="17"/>
      <c r="L118" s="17"/>
      <c r="M118" s="17"/>
      <c r="N118" s="17"/>
      <c r="O118" s="17"/>
    </row>
    <row r="119" spans="1:15" hidden="1" x14ac:dyDescent="0.25">
      <c r="A119" s="17" t="s">
        <v>53</v>
      </c>
      <c r="B119" s="34">
        <v>35.25</v>
      </c>
      <c r="C119" s="34">
        <v>34.9</v>
      </c>
      <c r="D119" s="17">
        <v>6716</v>
      </c>
      <c r="E119" s="35">
        <v>44214</v>
      </c>
      <c r="F119" s="39"/>
      <c r="G119" s="34"/>
      <c r="H119" s="34">
        <v>387.75</v>
      </c>
      <c r="I119" s="17" t="s">
        <v>30</v>
      </c>
      <c r="J119" s="17"/>
      <c r="K119" s="17"/>
      <c r="L119" s="17"/>
      <c r="M119" s="17"/>
      <c r="N119" s="17"/>
      <c r="O119" s="17"/>
    </row>
    <row r="120" spans="1:15" hidden="1" x14ac:dyDescent="0.25">
      <c r="A120" s="17" t="s">
        <v>13</v>
      </c>
      <c r="B120" s="34">
        <v>35.25</v>
      </c>
      <c r="C120" s="34">
        <v>34.9</v>
      </c>
      <c r="D120" s="17"/>
      <c r="E120" s="35">
        <v>44216</v>
      </c>
      <c r="F120" s="39">
        <v>40</v>
      </c>
      <c r="G120" s="34">
        <v>1396</v>
      </c>
      <c r="H120" s="34">
        <v>14</v>
      </c>
      <c r="I120" s="17" t="s">
        <v>30</v>
      </c>
      <c r="J120" s="17"/>
      <c r="K120" s="17"/>
      <c r="L120" s="17"/>
      <c r="M120" s="17"/>
      <c r="N120" s="17"/>
      <c r="O120" s="17"/>
    </row>
    <row r="121" spans="1:15" hidden="1" x14ac:dyDescent="0.25">
      <c r="A121" s="17" t="s">
        <v>42</v>
      </c>
      <c r="B121" s="34">
        <v>35.25</v>
      </c>
      <c r="C121" s="34">
        <v>34.9</v>
      </c>
      <c r="D121" s="17">
        <v>6429</v>
      </c>
      <c r="E121" s="35">
        <v>44216</v>
      </c>
      <c r="F121" s="39"/>
      <c r="G121" s="34"/>
      <c r="H121" s="34">
        <v>35.25</v>
      </c>
      <c r="I121" s="17" t="s">
        <v>30</v>
      </c>
      <c r="J121" s="17"/>
      <c r="K121" s="17"/>
      <c r="L121" s="17"/>
      <c r="M121" s="17"/>
      <c r="N121" s="17"/>
      <c r="O121" s="17"/>
    </row>
    <row r="122" spans="1:15" hidden="1" x14ac:dyDescent="0.25">
      <c r="A122" s="17" t="s">
        <v>15</v>
      </c>
      <c r="B122" s="34">
        <v>35.25</v>
      </c>
      <c r="C122" s="34">
        <v>34.9</v>
      </c>
      <c r="D122" s="17">
        <v>6690</v>
      </c>
      <c r="E122" s="35">
        <v>44217</v>
      </c>
      <c r="F122" s="39"/>
      <c r="G122" s="34"/>
      <c r="H122" s="34">
        <v>30</v>
      </c>
      <c r="I122" s="17" t="s">
        <v>30</v>
      </c>
      <c r="J122" s="17"/>
      <c r="K122" s="17"/>
      <c r="L122" s="17"/>
      <c r="M122" s="17"/>
      <c r="N122" s="17"/>
      <c r="O122" s="17"/>
    </row>
    <row r="123" spans="1:15" hidden="1" x14ac:dyDescent="0.25">
      <c r="A123" s="17" t="s">
        <v>14</v>
      </c>
      <c r="B123" s="34">
        <v>35.25</v>
      </c>
      <c r="C123" s="34">
        <v>34.9</v>
      </c>
      <c r="D123" s="17">
        <v>6740</v>
      </c>
      <c r="E123" s="35">
        <v>44217</v>
      </c>
      <c r="F123" s="39"/>
      <c r="G123" s="34"/>
      <c r="H123" s="34">
        <v>207.75</v>
      </c>
      <c r="I123" s="17" t="s">
        <v>30</v>
      </c>
      <c r="J123" s="17"/>
      <c r="K123" s="17"/>
      <c r="L123" s="17"/>
      <c r="M123" s="17"/>
      <c r="N123" s="17"/>
      <c r="O123" s="17"/>
    </row>
    <row r="124" spans="1:15" hidden="1" x14ac:dyDescent="0.25">
      <c r="A124" s="17" t="s">
        <v>53</v>
      </c>
      <c r="B124" s="34">
        <v>35.25</v>
      </c>
      <c r="C124" s="34">
        <v>34.9</v>
      </c>
      <c r="D124" s="17">
        <v>6741</v>
      </c>
      <c r="E124" s="35">
        <v>44217</v>
      </c>
      <c r="F124" s="39"/>
      <c r="G124" s="34"/>
      <c r="H124" s="34">
        <v>387.75</v>
      </c>
      <c r="I124" s="17" t="s">
        <v>30</v>
      </c>
      <c r="J124" s="17"/>
      <c r="K124" s="17"/>
      <c r="L124" s="17"/>
      <c r="M124" s="17"/>
      <c r="N124" s="17"/>
      <c r="O124" s="17"/>
    </row>
    <row r="125" spans="1:15" hidden="1" x14ac:dyDescent="0.25">
      <c r="A125" s="17" t="s">
        <v>13</v>
      </c>
      <c r="B125" s="34">
        <v>35.25</v>
      </c>
      <c r="C125" s="34">
        <v>34.9</v>
      </c>
      <c r="D125" s="17"/>
      <c r="E125" s="35">
        <v>44218</v>
      </c>
      <c r="F125" s="39">
        <v>40</v>
      </c>
      <c r="G125" s="34">
        <v>1396</v>
      </c>
      <c r="H125" s="34">
        <v>14</v>
      </c>
      <c r="I125" s="17" t="s">
        <v>30</v>
      </c>
      <c r="J125" s="17"/>
      <c r="K125" s="17"/>
      <c r="L125" s="17"/>
      <c r="M125" s="17"/>
      <c r="N125" s="17"/>
      <c r="O125" s="17"/>
    </row>
    <row r="126" spans="1:15" hidden="1" x14ac:dyDescent="0.25">
      <c r="A126" s="17" t="s">
        <v>14</v>
      </c>
      <c r="B126" s="34">
        <v>35.25</v>
      </c>
      <c r="C126" s="34">
        <v>34.9</v>
      </c>
      <c r="D126" s="17">
        <v>6748</v>
      </c>
      <c r="E126" s="35">
        <v>44218</v>
      </c>
      <c r="F126" s="39"/>
      <c r="G126" s="34"/>
      <c r="H126" s="34">
        <v>207.75</v>
      </c>
      <c r="I126" s="17" t="s">
        <v>30</v>
      </c>
      <c r="J126" s="17"/>
      <c r="K126" s="17"/>
      <c r="L126" s="17"/>
      <c r="M126" s="17"/>
      <c r="N126" s="17"/>
      <c r="O126" s="17"/>
    </row>
    <row r="127" spans="1:15" hidden="1" x14ac:dyDescent="0.25">
      <c r="A127" s="17" t="s">
        <v>53</v>
      </c>
      <c r="B127" s="34">
        <v>35.25</v>
      </c>
      <c r="C127" s="34">
        <v>34.9</v>
      </c>
      <c r="D127" s="17">
        <v>6750</v>
      </c>
      <c r="E127" s="35">
        <v>44218</v>
      </c>
      <c r="F127" s="39"/>
      <c r="G127" s="34"/>
      <c r="H127" s="34">
        <v>387.75</v>
      </c>
      <c r="I127" s="17" t="s">
        <v>30</v>
      </c>
      <c r="J127" s="17"/>
      <c r="K127" s="17"/>
      <c r="L127" s="17"/>
      <c r="M127" s="17"/>
      <c r="N127" s="17"/>
      <c r="O127" s="17"/>
    </row>
    <row r="128" spans="1:15" hidden="1" x14ac:dyDescent="0.25">
      <c r="A128" s="17" t="s">
        <v>42</v>
      </c>
      <c r="B128" s="34">
        <v>35.25</v>
      </c>
      <c r="C128" s="34">
        <v>34.9</v>
      </c>
      <c r="D128" s="17">
        <v>6581</v>
      </c>
      <c r="E128" s="35">
        <v>44219</v>
      </c>
      <c r="F128" s="39"/>
      <c r="G128" s="34"/>
      <c r="H128" s="34">
        <v>35.25</v>
      </c>
      <c r="I128" s="17" t="s">
        <v>30</v>
      </c>
      <c r="J128" s="17"/>
      <c r="K128" s="17"/>
      <c r="L128" s="17"/>
      <c r="M128" s="17"/>
      <c r="N128" s="17"/>
      <c r="O128" s="17"/>
    </row>
    <row r="129" spans="1:15" hidden="1" x14ac:dyDescent="0.25">
      <c r="A129" s="17" t="s">
        <v>13</v>
      </c>
      <c r="B129" s="34">
        <v>35.25</v>
      </c>
      <c r="C129" s="34">
        <v>34.9</v>
      </c>
      <c r="D129" s="17"/>
      <c r="E129" s="35">
        <v>44221</v>
      </c>
      <c r="F129" s="39">
        <v>60</v>
      </c>
      <c r="G129" s="34">
        <v>2094</v>
      </c>
      <c r="H129" s="34">
        <v>21</v>
      </c>
      <c r="I129" s="17" t="s">
        <v>30</v>
      </c>
      <c r="J129" s="17"/>
      <c r="K129" s="17"/>
      <c r="L129" s="17"/>
      <c r="M129" s="17"/>
      <c r="N129" s="17"/>
      <c r="O129" s="17"/>
    </row>
    <row r="130" spans="1:15" hidden="1" x14ac:dyDescent="0.25">
      <c r="A130" s="17" t="s">
        <v>61</v>
      </c>
      <c r="B130" s="34">
        <v>35.25</v>
      </c>
      <c r="C130" s="34">
        <v>34.4</v>
      </c>
      <c r="D130" s="17"/>
      <c r="E130" s="35">
        <v>44221</v>
      </c>
      <c r="F130" s="39">
        <v>400</v>
      </c>
      <c r="G130" s="34">
        <v>13760</v>
      </c>
      <c r="H130" s="34">
        <v>-340</v>
      </c>
      <c r="I130" s="17" t="s">
        <v>30</v>
      </c>
      <c r="J130" s="17"/>
      <c r="K130" s="17"/>
      <c r="L130" s="17"/>
      <c r="M130" s="17"/>
      <c r="N130" s="17"/>
      <c r="O130" s="17"/>
    </row>
    <row r="131" spans="1:15" hidden="1" x14ac:dyDescent="0.25">
      <c r="A131" s="17" t="s">
        <v>13</v>
      </c>
      <c r="B131" s="34">
        <v>35.25</v>
      </c>
      <c r="C131" s="34">
        <v>34.9</v>
      </c>
      <c r="D131" s="17"/>
      <c r="E131" s="35">
        <v>44221</v>
      </c>
      <c r="F131" s="39">
        <v>20</v>
      </c>
      <c r="G131" s="34">
        <v>698</v>
      </c>
      <c r="H131" s="34">
        <v>7</v>
      </c>
      <c r="I131" s="17" t="s">
        <v>30</v>
      </c>
      <c r="J131" s="17"/>
      <c r="K131" s="17"/>
      <c r="L131" s="17"/>
      <c r="M131" s="17"/>
      <c r="N131" s="17"/>
      <c r="O131" s="17"/>
    </row>
    <row r="132" spans="1:15" hidden="1" x14ac:dyDescent="0.25">
      <c r="A132" s="17" t="s">
        <v>13</v>
      </c>
      <c r="B132" s="34">
        <v>35.25</v>
      </c>
      <c r="C132" s="34">
        <v>34.9</v>
      </c>
      <c r="D132" s="17"/>
      <c r="E132" s="35">
        <v>44220</v>
      </c>
      <c r="F132" s="39">
        <v>100</v>
      </c>
      <c r="G132" s="34">
        <v>3490</v>
      </c>
      <c r="H132" s="34">
        <v>35</v>
      </c>
      <c r="I132" s="17" t="s">
        <v>30</v>
      </c>
      <c r="J132" s="17"/>
      <c r="K132" s="17"/>
      <c r="L132" s="17"/>
      <c r="M132" s="17"/>
      <c r="N132" s="17"/>
      <c r="O132" s="17"/>
    </row>
    <row r="133" spans="1:15" hidden="1" x14ac:dyDescent="0.25">
      <c r="A133" s="17" t="s">
        <v>13</v>
      </c>
      <c r="B133" s="34">
        <v>35.25</v>
      </c>
      <c r="C133" s="34">
        <v>34.9</v>
      </c>
      <c r="D133" s="17"/>
      <c r="E133" s="35">
        <v>44222</v>
      </c>
      <c r="F133" s="39">
        <v>10</v>
      </c>
      <c r="G133" s="34">
        <v>349</v>
      </c>
      <c r="H133" s="34">
        <v>3.5</v>
      </c>
      <c r="I133" s="17" t="s">
        <v>30</v>
      </c>
      <c r="J133" s="17"/>
      <c r="K133" s="17"/>
      <c r="L133" s="17"/>
      <c r="M133" s="17"/>
      <c r="N133" s="17"/>
      <c r="O133" s="17"/>
    </row>
    <row r="134" spans="1:15" hidden="1" x14ac:dyDescent="0.25">
      <c r="A134" s="17" t="s">
        <v>13</v>
      </c>
      <c r="B134" s="34">
        <v>35.25</v>
      </c>
      <c r="C134" s="34">
        <v>34.9</v>
      </c>
      <c r="D134" s="17"/>
      <c r="E134" s="35">
        <v>44222</v>
      </c>
      <c r="F134" s="39">
        <v>30</v>
      </c>
      <c r="G134" s="34">
        <v>1047</v>
      </c>
      <c r="H134" s="34">
        <v>10.5</v>
      </c>
      <c r="I134" s="17" t="s">
        <v>30</v>
      </c>
      <c r="J134" s="17"/>
      <c r="K134" s="17"/>
      <c r="L134" s="17"/>
      <c r="M134" s="17"/>
      <c r="N134" s="17"/>
      <c r="O134" s="17"/>
    </row>
    <row r="135" spans="1:15" hidden="1" x14ac:dyDescent="0.25">
      <c r="A135" s="17" t="s">
        <v>13</v>
      </c>
      <c r="B135" s="34">
        <v>35.25</v>
      </c>
      <c r="C135" s="34">
        <v>34.9</v>
      </c>
      <c r="D135" s="17"/>
      <c r="E135" s="35">
        <v>44223</v>
      </c>
      <c r="F135" s="39">
        <v>20</v>
      </c>
      <c r="G135" s="34">
        <v>698</v>
      </c>
      <c r="H135" s="34">
        <v>7</v>
      </c>
      <c r="I135" s="17" t="s">
        <v>30</v>
      </c>
      <c r="J135" s="17"/>
      <c r="K135" s="17"/>
      <c r="L135" s="17"/>
      <c r="M135" s="17"/>
      <c r="N135" s="17"/>
      <c r="O135" s="17"/>
    </row>
    <row r="136" spans="1:15" hidden="1" x14ac:dyDescent="0.25">
      <c r="A136" s="17" t="s">
        <v>13</v>
      </c>
      <c r="B136" s="34">
        <v>35.25</v>
      </c>
      <c r="C136" s="34">
        <v>34.9</v>
      </c>
      <c r="D136" s="17"/>
      <c r="E136" s="35">
        <v>44223</v>
      </c>
      <c r="F136" s="39">
        <v>20</v>
      </c>
      <c r="G136" s="34">
        <v>698</v>
      </c>
      <c r="H136" s="34">
        <v>7</v>
      </c>
      <c r="I136" s="17" t="s">
        <v>30</v>
      </c>
      <c r="J136" s="17"/>
      <c r="K136" s="17"/>
      <c r="L136" s="17"/>
      <c r="M136" s="17"/>
      <c r="N136" s="17"/>
      <c r="O136" s="17"/>
    </row>
    <row r="137" spans="1:15" hidden="1" x14ac:dyDescent="0.25">
      <c r="A137" s="17" t="s">
        <v>14</v>
      </c>
      <c r="B137" s="34">
        <v>35.25</v>
      </c>
      <c r="C137" s="34">
        <v>34.9</v>
      </c>
      <c r="D137" s="17">
        <v>6785</v>
      </c>
      <c r="E137" s="35">
        <v>44223</v>
      </c>
      <c r="F137" s="39"/>
      <c r="G137" s="34"/>
      <c r="H137" s="34">
        <v>207.75</v>
      </c>
      <c r="I137" s="17" t="s">
        <v>30</v>
      </c>
      <c r="J137" s="17"/>
      <c r="K137" s="17"/>
      <c r="L137" s="17"/>
      <c r="M137" s="17"/>
      <c r="N137" s="17"/>
      <c r="O137" s="17"/>
    </row>
    <row r="138" spans="1:15" hidden="1" x14ac:dyDescent="0.25">
      <c r="A138" s="17" t="s">
        <v>14</v>
      </c>
      <c r="B138" s="34">
        <v>35.25</v>
      </c>
      <c r="C138" s="34">
        <v>34.9</v>
      </c>
      <c r="D138" s="17">
        <v>6786</v>
      </c>
      <c r="E138" s="35">
        <v>44223</v>
      </c>
      <c r="F138" s="39"/>
      <c r="G138" s="34"/>
      <c r="H138" s="34">
        <v>207.75</v>
      </c>
      <c r="I138" s="17" t="s">
        <v>30</v>
      </c>
      <c r="J138" s="17"/>
      <c r="K138" s="17"/>
      <c r="L138" s="17"/>
      <c r="M138" s="17"/>
      <c r="N138" s="17"/>
      <c r="O138" s="17"/>
    </row>
    <row r="139" spans="1:15" hidden="1" x14ac:dyDescent="0.25">
      <c r="A139" s="17" t="s">
        <v>13</v>
      </c>
      <c r="B139" s="34">
        <v>35.25</v>
      </c>
      <c r="C139" s="34">
        <v>34.9</v>
      </c>
      <c r="D139" s="17"/>
      <c r="E139" s="35">
        <v>44224</v>
      </c>
      <c r="F139" s="39">
        <v>200</v>
      </c>
      <c r="G139" s="34">
        <v>6980</v>
      </c>
      <c r="H139" s="34">
        <v>70</v>
      </c>
      <c r="I139" s="17" t="s">
        <v>30</v>
      </c>
      <c r="J139" s="17"/>
      <c r="K139" s="17"/>
      <c r="L139" s="17"/>
      <c r="M139" s="17"/>
      <c r="N139" s="17"/>
      <c r="O139" s="17"/>
    </row>
    <row r="140" spans="1:15" hidden="1" x14ac:dyDescent="0.25">
      <c r="A140" s="17" t="s">
        <v>53</v>
      </c>
      <c r="B140" s="34">
        <v>35.25</v>
      </c>
      <c r="C140" s="34">
        <v>34.9</v>
      </c>
      <c r="D140" s="17">
        <v>6790</v>
      </c>
      <c r="E140" s="35">
        <v>44224</v>
      </c>
      <c r="F140" s="39"/>
      <c r="G140" s="34"/>
      <c r="H140" s="34">
        <v>387.75</v>
      </c>
      <c r="I140" s="17" t="s">
        <v>30</v>
      </c>
      <c r="J140" s="17"/>
      <c r="K140" s="17"/>
      <c r="L140" s="17"/>
      <c r="M140" s="17"/>
      <c r="N140" s="17"/>
      <c r="O140" s="17"/>
    </row>
    <row r="141" spans="1:15" hidden="1" x14ac:dyDescent="0.25">
      <c r="A141" s="17" t="s">
        <v>14</v>
      </c>
      <c r="B141" s="34">
        <v>35.25</v>
      </c>
      <c r="C141" s="34">
        <v>34.9</v>
      </c>
      <c r="D141" s="17">
        <v>6791</v>
      </c>
      <c r="E141" s="35">
        <v>44224</v>
      </c>
      <c r="F141" s="39"/>
      <c r="G141" s="34"/>
      <c r="H141" s="34">
        <v>172.5</v>
      </c>
      <c r="I141" s="17" t="s">
        <v>30</v>
      </c>
      <c r="J141" s="17"/>
      <c r="K141" s="17"/>
      <c r="L141" s="17"/>
      <c r="M141" s="17"/>
      <c r="N141" s="17"/>
      <c r="O141" s="17"/>
    </row>
    <row r="142" spans="1:15" hidden="1" x14ac:dyDescent="0.25">
      <c r="A142" s="17" t="s">
        <v>15</v>
      </c>
      <c r="B142" s="34">
        <v>35.25</v>
      </c>
      <c r="C142" s="34">
        <v>34.9</v>
      </c>
      <c r="D142" s="17">
        <v>6778</v>
      </c>
      <c r="E142" s="35">
        <v>44225</v>
      </c>
      <c r="F142" s="39"/>
      <c r="G142" s="34"/>
      <c r="H142" s="34">
        <v>30</v>
      </c>
      <c r="I142" s="17" t="s">
        <v>30</v>
      </c>
      <c r="J142" s="17"/>
      <c r="K142" s="17"/>
      <c r="L142" s="17"/>
      <c r="M142" s="17"/>
      <c r="N142" s="17"/>
      <c r="O142" s="17"/>
    </row>
    <row r="143" spans="1:15" hidden="1" x14ac:dyDescent="0.25">
      <c r="A143" s="17" t="s">
        <v>15</v>
      </c>
      <c r="B143" s="34">
        <v>35.25</v>
      </c>
      <c r="C143" s="34">
        <v>34.9</v>
      </c>
      <c r="D143" s="17">
        <v>6447</v>
      </c>
      <c r="E143" s="35">
        <v>44225</v>
      </c>
      <c r="F143" s="39"/>
      <c r="G143" s="34"/>
      <c r="H143" s="34">
        <v>30</v>
      </c>
      <c r="I143" s="17" t="s">
        <v>30</v>
      </c>
      <c r="J143" s="17"/>
      <c r="K143" s="17"/>
      <c r="L143" s="17"/>
      <c r="M143" s="17"/>
      <c r="N143" s="17"/>
      <c r="O143" s="17"/>
    </row>
    <row r="144" spans="1:15" hidden="1" x14ac:dyDescent="0.25">
      <c r="A144" s="17" t="s">
        <v>15</v>
      </c>
      <c r="B144" s="34">
        <v>35.25</v>
      </c>
      <c r="C144" s="34">
        <v>34.9</v>
      </c>
      <c r="D144" s="17">
        <v>6597</v>
      </c>
      <c r="E144" s="35">
        <v>44225</v>
      </c>
      <c r="F144" s="39"/>
      <c r="G144" s="34"/>
      <c r="H144" s="34">
        <v>30</v>
      </c>
      <c r="I144" s="17" t="s">
        <v>30</v>
      </c>
      <c r="J144" s="17"/>
      <c r="K144" s="17"/>
      <c r="L144" s="17"/>
      <c r="M144" s="17"/>
      <c r="N144" s="17"/>
      <c r="O144" s="17"/>
    </row>
    <row r="145" spans="1:15" hidden="1" x14ac:dyDescent="0.25">
      <c r="A145" s="17" t="s">
        <v>15</v>
      </c>
      <c r="B145" s="34">
        <v>35.25</v>
      </c>
      <c r="C145" s="34">
        <v>34.9</v>
      </c>
      <c r="D145" s="17">
        <v>6482</v>
      </c>
      <c r="E145" s="35">
        <v>44225</v>
      </c>
      <c r="F145" s="39"/>
      <c r="G145" s="34"/>
      <c r="H145" s="34">
        <v>30</v>
      </c>
      <c r="I145" s="17" t="s">
        <v>30</v>
      </c>
      <c r="J145" s="17"/>
      <c r="K145" s="17"/>
      <c r="L145" s="17"/>
      <c r="M145" s="17"/>
      <c r="N145" s="17"/>
      <c r="O145" s="17"/>
    </row>
    <row r="146" spans="1:15" hidden="1" x14ac:dyDescent="0.25">
      <c r="A146" s="17" t="s">
        <v>14</v>
      </c>
      <c r="B146" s="34">
        <v>35.25</v>
      </c>
      <c r="C146" s="34">
        <v>34.9</v>
      </c>
      <c r="D146" s="17">
        <v>6798</v>
      </c>
      <c r="E146" s="35">
        <v>44225</v>
      </c>
      <c r="F146" s="39"/>
      <c r="G146" s="34"/>
      <c r="H146" s="34">
        <v>172.5</v>
      </c>
      <c r="I146" s="17" t="s">
        <v>30</v>
      </c>
      <c r="J146" s="17"/>
      <c r="K146" s="17"/>
      <c r="L146" s="17"/>
      <c r="M146" s="17"/>
      <c r="N146" s="17"/>
      <c r="O146" s="17"/>
    </row>
    <row r="147" spans="1:15" hidden="1" x14ac:dyDescent="0.25">
      <c r="A147" s="17" t="s">
        <v>42</v>
      </c>
      <c r="B147" s="34">
        <v>35.25</v>
      </c>
      <c r="C147" s="34">
        <v>34.9</v>
      </c>
      <c r="D147" s="17">
        <v>6801</v>
      </c>
      <c r="E147" s="35">
        <v>44228</v>
      </c>
      <c r="F147" s="39"/>
      <c r="G147" s="34"/>
      <c r="H147" s="34">
        <v>35.25</v>
      </c>
      <c r="I147" s="17" t="s">
        <v>30</v>
      </c>
      <c r="J147" s="17"/>
      <c r="K147" s="17"/>
      <c r="L147" s="17"/>
      <c r="M147" s="17"/>
      <c r="N147" s="17"/>
      <c r="O147" s="17"/>
    </row>
    <row r="148" spans="1:15" hidden="1" x14ac:dyDescent="0.25">
      <c r="A148" s="17" t="s">
        <v>13</v>
      </c>
      <c r="B148" s="34">
        <v>35.25</v>
      </c>
      <c r="C148" s="34">
        <v>34.9</v>
      </c>
      <c r="D148" s="17"/>
      <c r="E148" s="35">
        <v>44228</v>
      </c>
      <c r="F148" s="39">
        <v>60</v>
      </c>
      <c r="G148" s="34">
        <v>2094</v>
      </c>
      <c r="H148" s="34">
        <v>21</v>
      </c>
      <c r="I148" s="17" t="s">
        <v>30</v>
      </c>
      <c r="J148" s="17"/>
      <c r="K148" s="17"/>
      <c r="L148" s="17"/>
      <c r="M148" s="17"/>
      <c r="N148" s="17"/>
      <c r="O148" s="17"/>
    </row>
    <row r="149" spans="1:15" hidden="1" x14ac:dyDescent="0.25">
      <c r="A149" s="17" t="s">
        <v>13</v>
      </c>
      <c r="B149" s="34">
        <v>35.25</v>
      </c>
      <c r="C149" s="34">
        <v>34.9</v>
      </c>
      <c r="D149" s="17"/>
      <c r="E149" s="35">
        <v>44232</v>
      </c>
      <c r="F149" s="39">
        <v>120</v>
      </c>
      <c r="G149" s="34">
        <v>4188</v>
      </c>
      <c r="H149" s="34">
        <v>42</v>
      </c>
      <c r="I149" s="17" t="s">
        <v>30</v>
      </c>
      <c r="J149" s="17"/>
      <c r="K149" s="17"/>
      <c r="L149" s="17"/>
      <c r="M149" s="17"/>
      <c r="N149" s="17"/>
      <c r="O149" s="17"/>
    </row>
    <row r="150" spans="1:15" hidden="1" x14ac:dyDescent="0.25">
      <c r="A150" s="17" t="s">
        <v>14</v>
      </c>
      <c r="B150" s="34">
        <v>35.25</v>
      </c>
      <c r="C150" s="34">
        <v>34.9</v>
      </c>
      <c r="D150" s="17">
        <v>6825</v>
      </c>
      <c r="E150" s="35">
        <v>44232</v>
      </c>
      <c r="F150" s="39"/>
      <c r="G150" s="34"/>
      <c r="H150" s="34">
        <v>207.75</v>
      </c>
      <c r="I150" s="17" t="s">
        <v>30</v>
      </c>
      <c r="J150" s="17"/>
      <c r="K150" s="17"/>
      <c r="L150" s="17"/>
      <c r="M150" s="17"/>
      <c r="N150" s="17"/>
      <c r="O150" s="17"/>
    </row>
    <row r="151" spans="1:15" hidden="1" x14ac:dyDescent="0.25">
      <c r="A151" s="17" t="s">
        <v>53</v>
      </c>
      <c r="B151" s="34">
        <v>35.25</v>
      </c>
      <c r="C151" s="34">
        <v>34.9</v>
      </c>
      <c r="D151" s="17">
        <v>6828</v>
      </c>
      <c r="E151" s="35">
        <v>44232</v>
      </c>
      <c r="F151" s="39"/>
      <c r="G151" s="34"/>
      <c r="H151" s="34">
        <v>387.75</v>
      </c>
      <c r="I151" s="17" t="s">
        <v>30</v>
      </c>
      <c r="J151" s="17"/>
      <c r="K151" s="17"/>
      <c r="L151" s="17"/>
      <c r="M151" s="17"/>
      <c r="N151" s="17"/>
      <c r="O151" s="17"/>
    </row>
    <row r="152" spans="1:15" hidden="1" x14ac:dyDescent="0.25">
      <c r="A152" s="17" t="s">
        <v>53</v>
      </c>
      <c r="B152" s="34">
        <v>35.25</v>
      </c>
      <c r="C152" s="34">
        <v>34.9</v>
      </c>
      <c r="D152" s="17">
        <v>6827</v>
      </c>
      <c r="E152" s="35">
        <v>44232</v>
      </c>
      <c r="F152" s="39"/>
      <c r="G152" s="34"/>
      <c r="H152" s="34">
        <v>387.75</v>
      </c>
      <c r="I152" s="17" t="s">
        <v>30</v>
      </c>
      <c r="J152" s="17"/>
      <c r="K152" s="17"/>
      <c r="L152" s="17"/>
      <c r="M152" s="17"/>
      <c r="N152" s="17"/>
      <c r="O152" s="17"/>
    </row>
    <row r="153" spans="1:15" hidden="1" x14ac:dyDescent="0.25">
      <c r="A153" s="17" t="s">
        <v>15</v>
      </c>
      <c r="B153" s="34">
        <v>35.25</v>
      </c>
      <c r="C153" s="34">
        <v>34.9</v>
      </c>
      <c r="D153" s="17">
        <v>6648</v>
      </c>
      <c r="E153" s="35">
        <v>44233</v>
      </c>
      <c r="F153" s="39"/>
      <c r="G153" s="34"/>
      <c r="H153" s="34">
        <v>30</v>
      </c>
      <c r="I153" s="17" t="s">
        <v>30</v>
      </c>
      <c r="J153" s="17"/>
      <c r="K153" s="17"/>
      <c r="L153" s="17"/>
      <c r="M153" s="17"/>
      <c r="N153" s="17"/>
      <c r="O153" s="17"/>
    </row>
    <row r="154" spans="1:15" hidden="1" x14ac:dyDescent="0.25">
      <c r="A154" s="17" t="s">
        <v>42</v>
      </c>
      <c r="B154" s="34">
        <v>35.25</v>
      </c>
      <c r="C154" s="34">
        <v>34.9</v>
      </c>
      <c r="D154" s="17">
        <v>6648</v>
      </c>
      <c r="E154" s="35">
        <v>44233</v>
      </c>
      <c r="F154" s="39"/>
      <c r="G154" s="34"/>
      <c r="H154" s="34">
        <v>35.25</v>
      </c>
      <c r="I154" s="17" t="s">
        <v>30</v>
      </c>
      <c r="J154" s="17"/>
      <c r="K154" s="17"/>
      <c r="L154" s="17"/>
      <c r="M154" s="17"/>
      <c r="N154" s="17"/>
      <c r="O154" s="17"/>
    </row>
    <row r="155" spans="1:15" hidden="1" x14ac:dyDescent="0.25">
      <c r="A155" s="17" t="s">
        <v>13</v>
      </c>
      <c r="B155" s="34">
        <v>35.25</v>
      </c>
      <c r="C155" s="34">
        <v>34.9</v>
      </c>
      <c r="D155" s="17"/>
      <c r="E155" s="35">
        <v>44233</v>
      </c>
      <c r="F155" s="39">
        <v>20</v>
      </c>
      <c r="G155" s="34">
        <v>698</v>
      </c>
      <c r="H155" s="34">
        <v>7</v>
      </c>
      <c r="I155" s="17" t="s">
        <v>30</v>
      </c>
      <c r="J155" s="17"/>
      <c r="K155" s="17"/>
      <c r="L155" s="17"/>
      <c r="M155" s="17"/>
      <c r="N155" s="17"/>
      <c r="O155" s="17"/>
    </row>
    <row r="156" spans="1:15" hidden="1" x14ac:dyDescent="0.25">
      <c r="A156" s="17" t="s">
        <v>14</v>
      </c>
      <c r="B156" s="34">
        <v>35.25</v>
      </c>
      <c r="C156" s="34">
        <v>34.9</v>
      </c>
      <c r="D156" s="17">
        <v>6838</v>
      </c>
      <c r="E156" s="35">
        <v>44235</v>
      </c>
      <c r="F156" s="39"/>
      <c r="G156" s="34"/>
      <c r="H156" s="34">
        <v>87.75</v>
      </c>
      <c r="I156" s="17" t="s">
        <v>30</v>
      </c>
      <c r="J156" s="17"/>
      <c r="K156" s="17"/>
      <c r="L156" s="17"/>
      <c r="M156" s="17"/>
      <c r="N156" s="17"/>
      <c r="O156" s="17"/>
    </row>
    <row r="157" spans="1:15" hidden="1" x14ac:dyDescent="0.25">
      <c r="A157" s="17" t="s">
        <v>13</v>
      </c>
      <c r="B157" s="34">
        <v>35.25</v>
      </c>
      <c r="C157" s="34">
        <v>34.9</v>
      </c>
      <c r="D157" s="17"/>
      <c r="E157" s="35">
        <v>44236</v>
      </c>
      <c r="F157" s="39">
        <v>30</v>
      </c>
      <c r="G157" s="34">
        <v>1047</v>
      </c>
      <c r="H157" s="34">
        <v>10.5</v>
      </c>
      <c r="I157" s="17" t="s">
        <v>30</v>
      </c>
      <c r="J157" s="17"/>
      <c r="K157" s="17"/>
      <c r="L157" s="17"/>
      <c r="M157" s="17"/>
      <c r="N157" s="17"/>
      <c r="O157" s="17"/>
    </row>
    <row r="158" spans="1:15" x14ac:dyDescent="0.25">
      <c r="A158" s="17" t="s">
        <v>42</v>
      </c>
      <c r="B158" s="34">
        <v>35.25</v>
      </c>
      <c r="C158" s="34">
        <v>34.9</v>
      </c>
      <c r="D158" s="17">
        <v>6529</v>
      </c>
      <c r="E158" s="35">
        <v>44237</v>
      </c>
      <c r="F158" s="39"/>
      <c r="G158" s="34"/>
      <c r="H158" s="34">
        <v>35.25</v>
      </c>
      <c r="I158" s="17" t="s">
        <v>30</v>
      </c>
      <c r="J158" s="17"/>
      <c r="K158" s="17"/>
      <c r="L158" s="17"/>
      <c r="M158" s="17"/>
      <c r="N158" s="17"/>
      <c r="O158" s="17"/>
    </row>
    <row r="159" spans="1:15" x14ac:dyDescent="0.25">
      <c r="A159" s="17" t="s">
        <v>53</v>
      </c>
      <c r="B159" s="34">
        <v>35.25</v>
      </c>
      <c r="C159" s="34">
        <v>34.9</v>
      </c>
      <c r="D159" s="17">
        <v>6853</v>
      </c>
      <c r="E159" s="35">
        <v>44237</v>
      </c>
      <c r="F159" s="39"/>
      <c r="G159" s="34"/>
      <c r="H159" s="34">
        <v>387.75</v>
      </c>
      <c r="I159" s="17" t="s">
        <v>30</v>
      </c>
      <c r="J159" s="17"/>
      <c r="K159" s="17"/>
      <c r="L159" s="17"/>
      <c r="M159" s="17"/>
      <c r="N159" s="17"/>
      <c r="O159" s="17"/>
    </row>
    <row r="160" spans="1:15" x14ac:dyDescent="0.25">
      <c r="A160" s="17" t="s">
        <v>13</v>
      </c>
      <c r="B160" s="34">
        <v>35.25</v>
      </c>
      <c r="C160" s="34">
        <v>34.9</v>
      </c>
      <c r="D160" s="17"/>
      <c r="E160" s="35">
        <v>44238</v>
      </c>
      <c r="F160" s="39">
        <v>100</v>
      </c>
      <c r="G160" s="34">
        <v>3490</v>
      </c>
      <c r="H160" s="34">
        <v>35</v>
      </c>
      <c r="I160" s="17" t="s">
        <v>30</v>
      </c>
      <c r="J160" s="17"/>
      <c r="K160" s="17"/>
      <c r="L160" s="17"/>
      <c r="M160" s="17"/>
      <c r="N160" s="17"/>
      <c r="O160" s="17"/>
    </row>
    <row r="161" spans="1:15" x14ac:dyDescent="0.25">
      <c r="A161" s="17" t="s">
        <v>13</v>
      </c>
      <c r="B161" s="34">
        <v>35.25</v>
      </c>
      <c r="C161" s="34">
        <v>34.9</v>
      </c>
      <c r="D161" s="17"/>
      <c r="E161" s="35">
        <v>44238</v>
      </c>
      <c r="F161" s="39">
        <v>20</v>
      </c>
      <c r="G161" s="34">
        <v>698</v>
      </c>
      <c r="H161" s="34">
        <v>7</v>
      </c>
      <c r="I161" s="17" t="s">
        <v>30</v>
      </c>
      <c r="J161" s="17"/>
      <c r="K161" s="17"/>
      <c r="L161" s="17"/>
      <c r="M161" s="17"/>
      <c r="N161" s="17"/>
      <c r="O161" s="17"/>
    </row>
    <row r="162" spans="1:15" x14ac:dyDescent="0.25">
      <c r="A162" s="17" t="s">
        <v>13</v>
      </c>
      <c r="B162" s="34">
        <v>35.25</v>
      </c>
      <c r="C162" s="34">
        <v>34.9</v>
      </c>
      <c r="D162" s="17"/>
      <c r="E162" s="35">
        <v>44238</v>
      </c>
      <c r="F162" s="39">
        <v>10</v>
      </c>
      <c r="G162" s="34">
        <v>349</v>
      </c>
      <c r="H162" s="34">
        <v>3.5</v>
      </c>
      <c r="I162" s="17" t="s">
        <v>30</v>
      </c>
      <c r="J162" s="17"/>
      <c r="K162" s="17"/>
      <c r="L162" s="17"/>
      <c r="M162" s="17"/>
      <c r="N162" s="17"/>
      <c r="O162" s="17"/>
    </row>
    <row r="163" spans="1:15" x14ac:dyDescent="0.25">
      <c r="A163" s="17" t="s">
        <v>13</v>
      </c>
      <c r="B163" s="34">
        <v>35.25</v>
      </c>
      <c r="C163" s="34">
        <v>34.9</v>
      </c>
      <c r="D163" s="17"/>
      <c r="E163" s="35">
        <v>44238</v>
      </c>
      <c r="F163" s="39">
        <v>20</v>
      </c>
      <c r="G163" s="34">
        <v>698</v>
      </c>
      <c r="H163" s="34">
        <v>7</v>
      </c>
      <c r="I163" s="17" t="s">
        <v>30</v>
      </c>
      <c r="J163" s="17"/>
      <c r="K163" s="17"/>
      <c r="L163" s="17"/>
      <c r="M163" s="17"/>
      <c r="N163" s="17"/>
      <c r="O163" s="17"/>
    </row>
    <row r="164" spans="1:15" x14ac:dyDescent="0.25">
      <c r="A164" s="17" t="s">
        <v>14</v>
      </c>
      <c r="B164" s="34">
        <v>35.25</v>
      </c>
      <c r="C164" s="34">
        <v>34.9</v>
      </c>
      <c r="D164" s="17">
        <v>6868</v>
      </c>
      <c r="E164" s="35">
        <v>44239</v>
      </c>
      <c r="F164" s="39"/>
      <c r="G164" s="34"/>
      <c r="H164" s="34">
        <v>87.75</v>
      </c>
      <c r="I164" s="17" t="s">
        <v>30</v>
      </c>
      <c r="J164" s="17"/>
      <c r="K164" s="17"/>
      <c r="L164" s="17"/>
      <c r="M164" s="17"/>
      <c r="N164" s="17"/>
      <c r="O164" s="17"/>
    </row>
    <row r="165" spans="1:15" x14ac:dyDescent="0.25">
      <c r="A165" s="17" t="s">
        <v>13</v>
      </c>
      <c r="B165" s="34">
        <v>35.25</v>
      </c>
      <c r="C165" s="34">
        <v>34.9</v>
      </c>
      <c r="D165" s="17"/>
      <c r="E165" s="35">
        <v>44239</v>
      </c>
      <c r="F165" s="39">
        <v>100</v>
      </c>
      <c r="G165" s="34">
        <v>3490</v>
      </c>
      <c r="H165" s="34">
        <v>35</v>
      </c>
      <c r="I165" s="17" t="s">
        <v>30</v>
      </c>
      <c r="J165" s="17"/>
      <c r="K165" s="17"/>
      <c r="L165" s="17"/>
      <c r="M165" s="17"/>
      <c r="N165" s="17"/>
      <c r="O165" s="17"/>
    </row>
    <row r="166" spans="1:15" x14ac:dyDescent="0.25">
      <c r="A166" s="17" t="s">
        <v>53</v>
      </c>
      <c r="B166" s="34">
        <v>35.25</v>
      </c>
      <c r="C166" s="34">
        <v>34.9</v>
      </c>
      <c r="D166" s="17">
        <v>6870</v>
      </c>
      <c r="E166" s="35">
        <v>44240</v>
      </c>
      <c r="F166" s="39"/>
      <c r="G166" s="34"/>
      <c r="H166" s="34">
        <v>387.75</v>
      </c>
      <c r="I166" s="17" t="s">
        <v>30</v>
      </c>
      <c r="J166" s="17"/>
      <c r="K166" s="17"/>
      <c r="L166" s="17"/>
      <c r="M166" s="17"/>
      <c r="N166" s="17"/>
      <c r="O166" s="17"/>
    </row>
    <row r="167" spans="1:15" x14ac:dyDescent="0.25">
      <c r="A167" s="17" t="s">
        <v>13</v>
      </c>
      <c r="B167" s="34">
        <v>35.25</v>
      </c>
      <c r="C167" s="34">
        <v>34.9</v>
      </c>
      <c r="D167" s="17"/>
      <c r="E167" s="35">
        <v>44240</v>
      </c>
      <c r="F167" s="39">
        <v>25</v>
      </c>
      <c r="G167" s="34">
        <v>872.5</v>
      </c>
      <c r="H167" s="34">
        <v>8.75</v>
      </c>
      <c r="I167" s="17" t="s">
        <v>30</v>
      </c>
      <c r="J167" s="17"/>
      <c r="K167" s="17"/>
      <c r="L167" s="17"/>
      <c r="M167" s="17"/>
      <c r="N167" s="17"/>
      <c r="O167" s="17"/>
    </row>
    <row r="168" spans="1:15" x14ac:dyDescent="0.25">
      <c r="A168" s="17" t="s">
        <v>15</v>
      </c>
      <c r="B168" s="34">
        <v>35.25</v>
      </c>
      <c r="C168" s="34">
        <v>34.9</v>
      </c>
      <c r="D168" s="17">
        <v>6551</v>
      </c>
      <c r="E168" s="35">
        <v>44242</v>
      </c>
      <c r="F168" s="39"/>
      <c r="G168" s="34"/>
      <c r="H168" s="34">
        <v>30</v>
      </c>
      <c r="I168" s="17" t="s">
        <v>30</v>
      </c>
      <c r="J168" s="17"/>
      <c r="K168" s="17"/>
      <c r="L168" s="17"/>
      <c r="M168" s="17"/>
      <c r="N168" s="17"/>
      <c r="O168" s="17"/>
    </row>
    <row r="169" spans="1:15" x14ac:dyDescent="0.25">
      <c r="A169" s="17" t="s">
        <v>59</v>
      </c>
      <c r="B169" s="34">
        <v>35.25</v>
      </c>
      <c r="C169" s="34">
        <v>34.9</v>
      </c>
      <c r="D169" s="17"/>
      <c r="E169" s="35">
        <v>44244</v>
      </c>
      <c r="F169" s="39"/>
      <c r="G169" s="34"/>
      <c r="H169" s="34">
        <v>-300</v>
      </c>
      <c r="I169" s="17" t="s">
        <v>30</v>
      </c>
      <c r="J169" s="17"/>
      <c r="K169" s="17"/>
      <c r="L169" s="17"/>
      <c r="M169" s="17"/>
      <c r="N169" s="17"/>
      <c r="O169" s="17"/>
    </row>
    <row r="170" spans="1:15" x14ac:dyDescent="0.25">
      <c r="A170" s="17" t="s">
        <v>60</v>
      </c>
      <c r="B170" s="34">
        <v>34.9</v>
      </c>
      <c r="C170" s="34">
        <v>35.25</v>
      </c>
      <c r="D170" s="17"/>
      <c r="E170" s="35">
        <v>44244</v>
      </c>
      <c r="F170" s="39"/>
      <c r="G170" s="34"/>
      <c r="H170" s="34">
        <v>-98</v>
      </c>
      <c r="I170" s="17" t="s">
        <v>30</v>
      </c>
      <c r="J170" s="17"/>
      <c r="K170" s="17"/>
      <c r="L170" s="17"/>
      <c r="M170" s="17"/>
      <c r="N170" s="17"/>
      <c r="O170" s="17"/>
    </row>
    <row r="171" spans="1:15" x14ac:dyDescent="0.25">
      <c r="A171" s="17" t="s">
        <v>15</v>
      </c>
      <c r="B171" s="34">
        <v>35.25</v>
      </c>
      <c r="C171" s="34">
        <v>34.9</v>
      </c>
      <c r="D171" s="17">
        <v>6875</v>
      </c>
      <c r="E171" s="35">
        <v>44245</v>
      </c>
      <c r="F171" s="39"/>
      <c r="G171" s="34"/>
      <c r="H171" s="34">
        <v>30</v>
      </c>
      <c r="I171" s="17" t="s">
        <v>30</v>
      </c>
      <c r="J171" s="17"/>
      <c r="K171" s="17"/>
      <c r="L171" s="17"/>
      <c r="M171" s="17"/>
      <c r="N171" s="17"/>
      <c r="O171" s="17"/>
    </row>
    <row r="172" spans="1:15" x14ac:dyDescent="0.25">
      <c r="A172" s="17" t="s">
        <v>13</v>
      </c>
      <c r="B172" s="34">
        <v>35.25</v>
      </c>
      <c r="C172" s="34">
        <v>34.9</v>
      </c>
      <c r="D172" s="17"/>
      <c r="E172" s="35">
        <v>44246</v>
      </c>
      <c r="F172" s="39">
        <v>72</v>
      </c>
      <c r="G172" s="34">
        <v>2512.8000000000002</v>
      </c>
      <c r="H172" s="34">
        <v>25.200000000000301</v>
      </c>
      <c r="I172" s="17" t="s">
        <v>30</v>
      </c>
      <c r="J172" s="17"/>
      <c r="K172" s="17"/>
      <c r="L172" s="17"/>
      <c r="M172" s="17"/>
      <c r="N172" s="17"/>
      <c r="O172" s="17"/>
    </row>
    <row r="173" spans="1:15" x14ac:dyDescent="0.25">
      <c r="A173" s="17" t="s">
        <v>42</v>
      </c>
      <c r="B173" s="34">
        <v>35.25</v>
      </c>
      <c r="C173" s="34">
        <v>34.9</v>
      </c>
      <c r="D173" s="17">
        <v>6727</v>
      </c>
      <c r="E173" s="35">
        <v>44247</v>
      </c>
      <c r="F173" s="39"/>
      <c r="G173" s="34"/>
      <c r="H173" s="34">
        <v>35.25</v>
      </c>
      <c r="I173" s="17" t="s">
        <v>30</v>
      </c>
      <c r="J173" s="17"/>
      <c r="K173" s="17"/>
      <c r="L173" s="17"/>
      <c r="M173" s="17"/>
      <c r="N173" s="17"/>
      <c r="O173" s="17"/>
    </row>
    <row r="174" spans="1:15" x14ac:dyDescent="0.25">
      <c r="A174" s="17" t="s">
        <v>15</v>
      </c>
      <c r="B174" s="34">
        <v>35.25</v>
      </c>
      <c r="C174" s="34">
        <v>34.9</v>
      </c>
      <c r="D174" s="17">
        <v>6668</v>
      </c>
      <c r="E174" s="35">
        <v>44247</v>
      </c>
      <c r="F174" s="39"/>
      <c r="G174" s="34"/>
      <c r="H174" s="34">
        <v>30</v>
      </c>
      <c r="I174" s="17" t="s">
        <v>30</v>
      </c>
      <c r="J174" s="17"/>
      <c r="K174" s="17"/>
      <c r="L174" s="17"/>
      <c r="M174" s="17"/>
      <c r="N174" s="17"/>
      <c r="O174" s="17"/>
    </row>
    <row r="175" spans="1:15" x14ac:dyDescent="0.25">
      <c r="A175" s="17" t="s">
        <v>59</v>
      </c>
      <c r="B175" s="34">
        <v>35.25</v>
      </c>
      <c r="C175" s="34">
        <v>34.9</v>
      </c>
      <c r="D175" s="17"/>
      <c r="E175" s="35">
        <v>44247</v>
      </c>
      <c r="F175" s="39"/>
      <c r="G175" s="34"/>
      <c r="H175" s="34">
        <v>-300</v>
      </c>
      <c r="I175" s="17"/>
      <c r="J175" s="17"/>
      <c r="K175" s="17"/>
      <c r="L175" s="17"/>
      <c r="M175" s="17"/>
      <c r="N175" s="17"/>
      <c r="O175" s="17"/>
    </row>
    <row r="176" spans="1:15" x14ac:dyDescent="0.25">
      <c r="A176" s="17" t="s">
        <v>15</v>
      </c>
      <c r="B176" s="34">
        <v>35.25</v>
      </c>
      <c r="C176" s="34">
        <v>34.9</v>
      </c>
      <c r="D176" s="17">
        <v>6565</v>
      </c>
      <c r="E176" s="35">
        <v>44249</v>
      </c>
      <c r="F176" s="39"/>
      <c r="G176" s="34"/>
      <c r="H176" s="34">
        <v>30</v>
      </c>
      <c r="I176" s="17" t="s">
        <v>30</v>
      </c>
      <c r="J176" s="17"/>
      <c r="K176" s="17"/>
      <c r="L176" s="17"/>
      <c r="M176" s="17"/>
      <c r="N176" s="17"/>
      <c r="O176" s="17"/>
    </row>
    <row r="177" spans="1:15" x14ac:dyDescent="0.25">
      <c r="A177" s="17" t="s">
        <v>42</v>
      </c>
      <c r="B177" s="34">
        <v>35.25</v>
      </c>
      <c r="C177" s="34">
        <v>34.9</v>
      </c>
      <c r="D177" s="17">
        <v>6756</v>
      </c>
      <c r="E177" s="35">
        <v>44249</v>
      </c>
      <c r="F177" s="39"/>
      <c r="G177" s="34"/>
      <c r="H177" s="34">
        <v>35.25</v>
      </c>
      <c r="I177" s="17" t="s">
        <v>30</v>
      </c>
      <c r="J177" s="17"/>
      <c r="K177" s="17"/>
      <c r="L177" s="17"/>
      <c r="M177" s="17"/>
      <c r="N177" s="17"/>
      <c r="O177" s="17"/>
    </row>
    <row r="178" spans="1:15" x14ac:dyDescent="0.25">
      <c r="A178" s="17" t="s">
        <v>53</v>
      </c>
      <c r="B178" s="34">
        <v>35.25</v>
      </c>
      <c r="C178" s="34">
        <v>34.9</v>
      </c>
      <c r="D178" s="17">
        <v>6930</v>
      </c>
      <c r="E178" s="35">
        <v>44249</v>
      </c>
      <c r="F178" s="39"/>
      <c r="G178" s="34"/>
      <c r="H178" s="34">
        <v>387.75</v>
      </c>
      <c r="I178" s="17" t="s">
        <v>30</v>
      </c>
      <c r="J178" s="17"/>
      <c r="K178" s="17"/>
      <c r="L178" s="17"/>
      <c r="M178" s="17"/>
      <c r="N178" s="17"/>
      <c r="O178" s="17"/>
    </row>
    <row r="179" spans="1:15" x14ac:dyDescent="0.25">
      <c r="A179" s="17" t="s">
        <v>15</v>
      </c>
      <c r="B179" s="34">
        <v>35.25</v>
      </c>
      <c r="C179" s="34">
        <v>34.9</v>
      </c>
      <c r="D179" s="17">
        <v>6346</v>
      </c>
      <c r="E179" s="35">
        <v>44250</v>
      </c>
      <c r="F179" s="39"/>
      <c r="G179" s="34"/>
      <c r="H179" s="34">
        <v>30</v>
      </c>
      <c r="I179" s="17" t="s">
        <v>30</v>
      </c>
      <c r="J179" s="17"/>
      <c r="K179" s="17"/>
      <c r="L179" s="17"/>
      <c r="M179" s="17"/>
      <c r="N179" s="17"/>
      <c r="O179" s="17"/>
    </row>
    <row r="180" spans="1:15" x14ac:dyDescent="0.25">
      <c r="A180" s="17" t="s">
        <v>42</v>
      </c>
      <c r="B180" s="34">
        <v>35.25</v>
      </c>
      <c r="C180" s="34">
        <v>34.9</v>
      </c>
      <c r="D180" s="17">
        <v>6768</v>
      </c>
      <c r="E180" s="35">
        <v>44253</v>
      </c>
      <c r="F180" s="39"/>
      <c r="G180" s="34"/>
      <c r="H180" s="34">
        <v>35.25</v>
      </c>
      <c r="I180" s="17" t="s">
        <v>30</v>
      </c>
      <c r="J180" s="17"/>
      <c r="K180" s="17"/>
      <c r="L180" s="17"/>
      <c r="M180" s="17"/>
      <c r="N180" s="17"/>
      <c r="O180" s="17"/>
    </row>
    <row r="181" spans="1:15" x14ac:dyDescent="0.25">
      <c r="A181" s="17" t="s">
        <v>13</v>
      </c>
      <c r="B181" s="34">
        <v>35.25</v>
      </c>
      <c r="C181" s="34">
        <v>34.9</v>
      </c>
      <c r="D181" s="17"/>
      <c r="E181" s="35">
        <v>44253</v>
      </c>
      <c r="F181" s="39">
        <v>80</v>
      </c>
      <c r="G181" s="34">
        <v>2792</v>
      </c>
      <c r="H181" s="34">
        <v>28</v>
      </c>
      <c r="I181" s="17" t="s">
        <v>30</v>
      </c>
      <c r="J181" s="17"/>
      <c r="K181" s="17"/>
      <c r="L181" s="17"/>
      <c r="M181" s="17"/>
      <c r="N181" s="17"/>
      <c r="O181" s="17"/>
    </row>
    <row r="182" spans="1:15" x14ac:dyDescent="0.25">
      <c r="A182" s="17" t="s">
        <v>53</v>
      </c>
      <c r="B182" s="34">
        <v>35.25</v>
      </c>
      <c r="C182" s="34">
        <v>34.9</v>
      </c>
      <c r="D182" s="17">
        <v>6951</v>
      </c>
      <c r="E182" s="35">
        <v>44253</v>
      </c>
      <c r="F182" s="39"/>
      <c r="G182" s="34"/>
      <c r="H182" s="34">
        <v>387.75</v>
      </c>
      <c r="I182" s="17" t="s">
        <v>30</v>
      </c>
      <c r="J182" s="17"/>
      <c r="K182" s="17"/>
      <c r="L182" s="17"/>
      <c r="M182" s="17"/>
      <c r="N182" s="17"/>
      <c r="O182" s="17"/>
    </row>
    <row r="183" spans="1:15" x14ac:dyDescent="0.25">
      <c r="A183" s="17" t="s">
        <v>15</v>
      </c>
      <c r="B183" s="34">
        <v>35.25</v>
      </c>
      <c r="C183" s="34">
        <v>34.9</v>
      </c>
      <c r="D183" s="17">
        <v>6909</v>
      </c>
      <c r="E183" s="35">
        <v>44256</v>
      </c>
      <c r="F183" s="39"/>
      <c r="G183" s="34"/>
      <c r="H183" s="34">
        <v>30</v>
      </c>
      <c r="I183" s="17" t="s">
        <v>30</v>
      </c>
      <c r="J183" s="17"/>
      <c r="K183" s="17"/>
      <c r="L183" s="17"/>
      <c r="M183" s="17"/>
      <c r="N183" s="17"/>
      <c r="O183" s="17"/>
    </row>
    <row r="184" spans="1:15" x14ac:dyDescent="0.25">
      <c r="A184" s="17" t="s">
        <v>13</v>
      </c>
      <c r="B184" s="34">
        <v>35.25</v>
      </c>
      <c r="C184" s="34">
        <v>34.9</v>
      </c>
      <c r="D184" s="17"/>
      <c r="E184" s="35">
        <v>44256</v>
      </c>
      <c r="F184" s="39">
        <v>100</v>
      </c>
      <c r="G184" s="34">
        <v>3490</v>
      </c>
      <c r="H184" s="34">
        <v>35</v>
      </c>
      <c r="I184" s="17" t="s">
        <v>30</v>
      </c>
      <c r="J184" s="17"/>
      <c r="K184" s="17"/>
      <c r="L184" s="17"/>
      <c r="M184" s="17"/>
      <c r="N184" s="17"/>
      <c r="O184" s="17"/>
    </row>
    <row r="185" spans="1:15" x14ac:dyDescent="0.25">
      <c r="A185" s="17" t="s">
        <v>63</v>
      </c>
      <c r="B185" s="34">
        <v>35.25</v>
      </c>
      <c r="C185" s="34">
        <v>34.9</v>
      </c>
      <c r="D185" s="17"/>
      <c r="E185" s="35">
        <v>44256</v>
      </c>
      <c r="F185" s="39"/>
      <c r="G185" s="34"/>
      <c r="H185" s="34">
        <v>-25</v>
      </c>
      <c r="I185" s="17" t="s">
        <v>30</v>
      </c>
      <c r="J185" s="17"/>
      <c r="K185" s="17"/>
      <c r="L185" s="17"/>
      <c r="M185" s="17"/>
      <c r="N185" s="17"/>
      <c r="O185" s="17"/>
    </row>
    <row r="186" spans="1:15" x14ac:dyDescent="0.25">
      <c r="A186" s="17" t="s">
        <v>13</v>
      </c>
      <c r="B186" s="34">
        <v>35.25</v>
      </c>
      <c r="C186" s="34">
        <v>34.9</v>
      </c>
      <c r="D186" s="17"/>
      <c r="E186" s="35">
        <v>44257</v>
      </c>
      <c r="F186" s="39">
        <v>60</v>
      </c>
      <c r="G186" s="34">
        <v>2094</v>
      </c>
      <c r="H186" s="34">
        <v>21</v>
      </c>
      <c r="I186" s="17" t="s">
        <v>30</v>
      </c>
      <c r="J186" s="17"/>
      <c r="K186" s="17"/>
      <c r="L186" s="17"/>
      <c r="M186" s="17"/>
      <c r="N186" s="17"/>
      <c r="O186" s="17"/>
    </row>
    <row r="187" spans="1:15" x14ac:dyDescent="0.25">
      <c r="A187" s="17" t="s">
        <v>15</v>
      </c>
      <c r="B187" s="34">
        <v>35.25</v>
      </c>
      <c r="C187" s="34">
        <v>34.9</v>
      </c>
      <c r="D187" s="17">
        <v>6494</v>
      </c>
      <c r="E187" s="35">
        <v>44258</v>
      </c>
      <c r="F187" s="39"/>
      <c r="G187" s="34"/>
      <c r="H187" s="34">
        <v>30</v>
      </c>
      <c r="I187" s="17" t="s">
        <v>30</v>
      </c>
      <c r="J187" s="17"/>
      <c r="K187" s="17"/>
      <c r="L187" s="17"/>
      <c r="M187" s="17"/>
      <c r="N187" s="17"/>
      <c r="O187" s="17"/>
    </row>
    <row r="188" spans="1:15" x14ac:dyDescent="0.25">
      <c r="A188" s="17" t="s">
        <v>42</v>
      </c>
      <c r="B188" s="34">
        <v>35.25</v>
      </c>
      <c r="C188" s="34">
        <v>34.9</v>
      </c>
      <c r="D188" s="17">
        <v>6757</v>
      </c>
      <c r="E188" s="35">
        <v>44258</v>
      </c>
      <c r="F188" s="39"/>
      <c r="G188" s="34"/>
      <c r="H188" s="34">
        <v>35.25</v>
      </c>
      <c r="I188" s="17" t="s">
        <v>30</v>
      </c>
      <c r="J188" s="17"/>
      <c r="K188" s="17"/>
      <c r="L188" s="17"/>
      <c r="M188" s="17"/>
      <c r="N188" s="17"/>
      <c r="O188" s="17"/>
    </row>
    <row r="189" spans="1:15" x14ac:dyDescent="0.25">
      <c r="A189" s="17" t="s">
        <v>62</v>
      </c>
      <c r="B189" s="34"/>
      <c r="C189" s="34"/>
      <c r="D189" s="17"/>
      <c r="E189" s="17">
        <f>SUBTOTAL(103,SOBRANTE[FECHA])</f>
        <v>31</v>
      </c>
      <c r="F189" s="39"/>
      <c r="G189" s="34"/>
      <c r="H189" s="34">
        <f>SUBTOTAL(109,SOBRANTE[SOBRANTE])</f>
        <v>1507.4500000000003</v>
      </c>
      <c r="I189" s="17"/>
      <c r="J189" s="17"/>
      <c r="K189" s="17"/>
      <c r="L189" s="17"/>
      <c r="M189" s="17"/>
      <c r="N189" s="17"/>
      <c r="O189" s="17"/>
    </row>
    <row r="190" spans="1:15" x14ac:dyDescent="0.25">
      <c r="A190" s="17"/>
      <c r="B190" s="34"/>
      <c r="C190" s="34"/>
      <c r="D190" s="17"/>
      <c r="E190" s="35"/>
      <c r="F190" s="39"/>
      <c r="G190" s="34"/>
      <c r="H190" s="34"/>
      <c r="I190" s="17"/>
      <c r="J190" s="17"/>
      <c r="K190" s="17"/>
      <c r="L190" s="17"/>
      <c r="M190" s="17"/>
      <c r="N190" s="17"/>
      <c r="O190" s="17"/>
    </row>
    <row r="191" spans="1:15" x14ac:dyDescent="0.25">
      <c r="A191" s="17"/>
      <c r="B191" s="34"/>
      <c r="C191" s="34"/>
      <c r="D191" s="17"/>
      <c r="E191" s="35"/>
      <c r="F191" s="39"/>
      <c r="G191" s="34"/>
      <c r="H191" s="34"/>
      <c r="I191" s="17"/>
      <c r="J191" s="17"/>
      <c r="K191" s="17"/>
      <c r="L191" s="17"/>
      <c r="M191" s="17"/>
      <c r="N191" s="17"/>
      <c r="O191" s="17"/>
    </row>
    <row r="192" spans="1:15" x14ac:dyDescent="0.25">
      <c r="A192" s="17"/>
      <c r="B192" s="34"/>
      <c r="C192" s="34"/>
      <c r="D192" s="17"/>
      <c r="E192" s="35"/>
      <c r="F192" s="39"/>
      <c r="G192" s="34"/>
      <c r="H192" s="34"/>
      <c r="I192" s="17"/>
      <c r="J192" s="17"/>
      <c r="K192" s="17"/>
      <c r="L192" s="17"/>
      <c r="M192" s="17"/>
      <c r="N192" s="17"/>
      <c r="O192" s="17"/>
    </row>
    <row r="193" spans="1:15" x14ac:dyDescent="0.25">
      <c r="A193" s="17"/>
      <c r="B193" s="34"/>
      <c r="C193" s="34"/>
      <c r="D193" s="17"/>
      <c r="E193" s="35"/>
      <c r="F193" s="39"/>
      <c r="G193" s="34"/>
      <c r="H193" s="34"/>
      <c r="I193" s="17"/>
      <c r="J193" s="17"/>
      <c r="K193" s="17"/>
      <c r="L193" s="17"/>
      <c r="M193" s="17"/>
      <c r="N193" s="17"/>
      <c r="O193" s="17"/>
    </row>
    <row r="194" spans="1:15" x14ac:dyDescent="0.25">
      <c r="A194" s="17"/>
      <c r="B194" s="34"/>
      <c r="C194" s="34"/>
      <c r="D194" s="17"/>
      <c r="E194" s="35"/>
      <c r="F194" s="39"/>
      <c r="G194" s="34"/>
      <c r="H194" s="34"/>
      <c r="I194" s="17"/>
      <c r="J194" s="17"/>
      <c r="K194" s="17"/>
      <c r="L194" s="17"/>
      <c r="M194" s="17"/>
      <c r="N194" s="17"/>
      <c r="O194" s="17"/>
    </row>
    <row r="195" spans="1:15" x14ac:dyDescent="0.25">
      <c r="A195" s="17"/>
      <c r="B195" s="34"/>
      <c r="C195" s="34"/>
      <c r="D195" s="17"/>
      <c r="E195" s="35"/>
      <c r="F195" s="39"/>
      <c r="G195" s="34"/>
      <c r="H195" s="34"/>
      <c r="I195" s="17"/>
      <c r="J195" s="17"/>
      <c r="K195" s="17"/>
      <c r="L195" s="17"/>
      <c r="M195" s="17"/>
      <c r="N195" s="17"/>
      <c r="O195" s="17"/>
    </row>
    <row r="196" spans="1:15" x14ac:dyDescent="0.25">
      <c r="A196" s="17"/>
      <c r="B196" s="34"/>
      <c r="C196" s="34"/>
      <c r="D196" s="17"/>
      <c r="E196" s="35"/>
      <c r="F196" s="39"/>
      <c r="G196" s="34"/>
      <c r="H196" s="34"/>
      <c r="I196" s="17"/>
      <c r="J196" s="17"/>
      <c r="K196" s="17"/>
      <c r="L196" s="17"/>
      <c r="M196" s="17"/>
      <c r="N196" s="17"/>
      <c r="O196" s="17"/>
    </row>
    <row r="197" spans="1:15" x14ac:dyDescent="0.25">
      <c r="A197" s="17"/>
      <c r="B197" s="34"/>
      <c r="C197" s="34"/>
      <c r="D197" s="17"/>
      <c r="E197" s="35"/>
      <c r="F197" s="39"/>
      <c r="G197" s="34"/>
      <c r="H197" s="34"/>
      <c r="I197" s="17"/>
      <c r="J197" s="17"/>
      <c r="K197" s="17"/>
      <c r="L197" s="17"/>
      <c r="M197" s="17"/>
      <c r="N197" s="17"/>
      <c r="O197" s="17"/>
    </row>
    <row r="198" spans="1:15" x14ac:dyDescent="0.25">
      <c r="A198" s="17"/>
      <c r="B198" s="34"/>
      <c r="C198" s="34"/>
      <c r="D198" s="17"/>
      <c r="E198" s="35"/>
      <c r="F198" s="39"/>
      <c r="G198" s="34"/>
      <c r="H198" s="34"/>
      <c r="I198" s="17"/>
      <c r="J198" s="17"/>
      <c r="K198" s="17"/>
      <c r="L198" s="17"/>
      <c r="M198" s="17"/>
      <c r="N198" s="17"/>
      <c r="O198" s="17"/>
    </row>
    <row r="199" spans="1:15" x14ac:dyDescent="0.25">
      <c r="A199" s="17"/>
      <c r="B199" s="34"/>
      <c r="C199" s="34"/>
      <c r="D199" s="17"/>
      <c r="E199" s="35"/>
      <c r="F199" s="39"/>
      <c r="G199" s="34"/>
      <c r="H199" s="34"/>
      <c r="I199" s="17"/>
      <c r="J199" s="17"/>
      <c r="K199" s="17"/>
      <c r="L199" s="17"/>
      <c r="M199" s="17"/>
      <c r="N199" s="17"/>
      <c r="O199" s="17"/>
    </row>
    <row r="200" spans="1:15" x14ac:dyDescent="0.25">
      <c r="A200" s="17"/>
      <c r="B200" s="34"/>
      <c r="C200" s="34"/>
      <c r="D200" s="17"/>
      <c r="E200" s="35"/>
      <c r="F200" s="39"/>
      <c r="G200" s="34"/>
      <c r="H200" s="34"/>
      <c r="I200" s="17"/>
      <c r="J200" s="17"/>
      <c r="K200" s="17"/>
      <c r="L200" s="17"/>
      <c r="M200" s="17"/>
      <c r="N200" s="17"/>
      <c r="O200" s="17"/>
    </row>
    <row r="201" spans="1:15" x14ac:dyDescent="0.25">
      <c r="A201" s="17"/>
      <c r="B201" s="34"/>
      <c r="C201" s="34"/>
      <c r="D201" s="17"/>
      <c r="E201" s="35"/>
      <c r="F201" s="39"/>
      <c r="G201" s="34"/>
      <c r="H201" s="34"/>
      <c r="I201" s="17"/>
      <c r="J201" s="17"/>
      <c r="K201" s="17"/>
      <c r="L201" s="17"/>
      <c r="M201" s="17"/>
      <c r="N201" s="17"/>
      <c r="O201" s="17"/>
    </row>
    <row r="202" spans="1:15" x14ac:dyDescent="0.25">
      <c r="A202" s="17"/>
      <c r="B202" s="34"/>
      <c r="C202" s="34"/>
      <c r="D202" s="17"/>
      <c r="E202" s="35"/>
      <c r="F202" s="39"/>
      <c r="G202" s="34"/>
      <c r="H202" s="34"/>
      <c r="I202" s="17"/>
      <c r="J202" s="17"/>
      <c r="K202" s="17"/>
      <c r="L202" s="17"/>
      <c r="M202" s="17"/>
      <c r="N202" s="17"/>
      <c r="O202" s="17"/>
    </row>
    <row r="203" spans="1:15" x14ac:dyDescent="0.25">
      <c r="A203" s="17"/>
      <c r="B203" s="34"/>
      <c r="C203" s="34"/>
      <c r="D203" s="17"/>
      <c r="E203" s="35"/>
      <c r="F203" s="39"/>
      <c r="G203" s="34"/>
      <c r="H203" s="34"/>
      <c r="I203" s="17"/>
      <c r="J203" s="17"/>
      <c r="K203" s="17"/>
      <c r="L203" s="17"/>
      <c r="M203" s="17"/>
      <c r="N203" s="17"/>
      <c r="O203" s="17"/>
    </row>
    <row r="204" spans="1:15" x14ac:dyDescent="0.25">
      <c r="A204" s="17"/>
      <c r="B204" s="34"/>
      <c r="C204" s="34"/>
      <c r="D204" s="17"/>
      <c r="E204" s="35"/>
      <c r="F204" s="39"/>
      <c r="G204" s="34"/>
      <c r="H204" s="34"/>
      <c r="I204" s="17"/>
      <c r="J204" s="17"/>
      <c r="K204" s="17"/>
      <c r="L204" s="17"/>
      <c r="M204" s="17"/>
      <c r="N204" s="17"/>
      <c r="O204" s="17"/>
    </row>
    <row r="205" spans="1:15" x14ac:dyDescent="0.25">
      <c r="A205" s="17"/>
      <c r="B205" s="34"/>
      <c r="C205" s="34"/>
      <c r="D205" s="17"/>
      <c r="E205" s="35"/>
      <c r="F205" s="39"/>
      <c r="G205" s="34"/>
      <c r="H205" s="34"/>
      <c r="I205" s="17"/>
      <c r="J205" s="17"/>
      <c r="K205" s="17"/>
      <c r="L205" s="17"/>
      <c r="M205" s="17"/>
      <c r="N205" s="17"/>
      <c r="O205" s="17"/>
    </row>
    <row r="206" spans="1:15" x14ac:dyDescent="0.25">
      <c r="A206" s="17"/>
      <c r="B206" s="34"/>
      <c r="C206" s="34"/>
      <c r="D206" s="17"/>
      <c r="E206" s="35"/>
      <c r="F206" s="39"/>
      <c r="G206" s="34"/>
      <c r="H206" s="34"/>
      <c r="I206" s="17"/>
      <c r="J206" s="17"/>
      <c r="K206" s="17"/>
      <c r="L206" s="17"/>
      <c r="M206" s="17"/>
      <c r="N206" s="17"/>
      <c r="O206" s="17"/>
    </row>
    <row r="207" spans="1:15" x14ac:dyDescent="0.25">
      <c r="A207" s="17"/>
      <c r="B207" s="34"/>
      <c r="C207" s="34"/>
      <c r="D207" s="17"/>
      <c r="E207" s="35"/>
      <c r="F207" s="39"/>
      <c r="G207" s="34"/>
      <c r="H207" s="34"/>
      <c r="I207" s="17"/>
      <c r="J207" s="17"/>
      <c r="K207" s="17"/>
      <c r="L207" s="17"/>
      <c r="M207" s="17"/>
      <c r="N207" s="17"/>
      <c r="O207" s="17"/>
    </row>
    <row r="208" spans="1:15" x14ac:dyDescent="0.25">
      <c r="A208" s="17"/>
      <c r="B208" s="34"/>
      <c r="C208" s="34"/>
      <c r="D208" s="17"/>
      <c r="E208" s="35"/>
      <c r="F208" s="39"/>
      <c r="G208" s="34"/>
      <c r="H208" s="34"/>
      <c r="I208" s="17"/>
      <c r="J208" s="17"/>
      <c r="K208" s="17"/>
      <c r="L208" s="17"/>
      <c r="M208" s="17"/>
      <c r="N208" s="17"/>
      <c r="O208" s="17"/>
    </row>
    <row r="209" spans="1:15" x14ac:dyDescent="0.25">
      <c r="A209" s="17"/>
      <c r="B209" s="34"/>
      <c r="C209" s="34"/>
      <c r="D209" s="17"/>
      <c r="E209" s="35"/>
      <c r="F209" s="39"/>
      <c r="G209" s="34"/>
      <c r="H209" s="34"/>
      <c r="I209" s="17"/>
      <c r="J209" s="17"/>
      <c r="K209" s="17"/>
      <c r="L209" s="17"/>
      <c r="M209" s="17"/>
      <c r="N209" s="17"/>
      <c r="O209" s="17"/>
    </row>
    <row r="210" spans="1:15" x14ac:dyDescent="0.25">
      <c r="A210" s="17"/>
      <c r="B210" s="34"/>
      <c r="C210" s="34"/>
      <c r="D210" s="17"/>
      <c r="E210" s="35"/>
      <c r="F210" s="39"/>
      <c r="G210" s="34"/>
      <c r="H210" s="34"/>
      <c r="I210" s="17"/>
      <c r="J210" s="17"/>
      <c r="K210" s="17"/>
      <c r="L210" s="17"/>
      <c r="M210" s="17"/>
      <c r="N210" s="17"/>
      <c r="O210" s="17"/>
    </row>
    <row r="211" spans="1:15" x14ac:dyDescent="0.25">
      <c r="A211" s="17"/>
      <c r="B211" s="34"/>
      <c r="C211" s="34"/>
      <c r="D211" s="17"/>
      <c r="E211" s="35"/>
      <c r="F211" s="39"/>
      <c r="G211" s="34"/>
      <c r="H211" s="34"/>
      <c r="I211" s="17"/>
      <c r="J211" s="17"/>
      <c r="K211" s="17"/>
      <c r="L211" s="17"/>
      <c r="M211" s="17"/>
      <c r="N211" s="17"/>
      <c r="O211" s="17"/>
    </row>
    <row r="212" spans="1:15" x14ac:dyDescent="0.25">
      <c r="A212" s="17"/>
      <c r="B212" s="34"/>
      <c r="C212" s="34"/>
      <c r="D212" s="17"/>
      <c r="E212" s="35"/>
      <c r="F212" s="39"/>
      <c r="G212" s="34"/>
      <c r="H212" s="34"/>
      <c r="I212" s="17"/>
      <c r="J212" s="17"/>
      <c r="K212" s="17"/>
      <c r="L212" s="17"/>
      <c r="M212" s="17"/>
      <c r="N212" s="17"/>
      <c r="O212" s="17"/>
    </row>
    <row r="213" spans="1:15" x14ac:dyDescent="0.25">
      <c r="A213" s="17"/>
      <c r="B213" s="34"/>
      <c r="C213" s="34"/>
      <c r="D213" s="17"/>
      <c r="E213" s="35"/>
      <c r="F213" s="39"/>
      <c r="G213" s="34"/>
      <c r="H213" s="34"/>
      <c r="I213" s="17"/>
      <c r="J213" s="17"/>
      <c r="K213" s="17"/>
      <c r="L213" s="17"/>
      <c r="M213" s="17"/>
      <c r="N213" s="17"/>
      <c r="O213" s="17"/>
    </row>
    <row r="214" spans="1:15" x14ac:dyDescent="0.25">
      <c r="A214" s="17"/>
      <c r="B214" s="34"/>
      <c r="C214" s="34"/>
      <c r="D214" s="17"/>
      <c r="E214" s="35"/>
      <c r="F214" s="39"/>
      <c r="G214" s="34"/>
      <c r="H214" s="34"/>
      <c r="I214" s="17"/>
      <c r="J214" s="17"/>
      <c r="K214" s="17"/>
      <c r="L214" s="17"/>
      <c r="M214" s="17"/>
      <c r="N214" s="17"/>
      <c r="O214" s="17"/>
    </row>
    <row r="215" spans="1:15" x14ac:dyDescent="0.25">
      <c r="A215" s="17"/>
      <c r="B215" s="34"/>
      <c r="C215" s="34"/>
      <c r="D215" s="17"/>
      <c r="E215" s="35"/>
      <c r="F215" s="39"/>
      <c r="G215" s="34"/>
      <c r="H215" s="34"/>
      <c r="I215" s="17"/>
      <c r="J215" s="17"/>
      <c r="K215" s="17"/>
      <c r="L215" s="17"/>
      <c r="M215" s="17"/>
      <c r="N215" s="17"/>
      <c r="O215" s="17"/>
    </row>
    <row r="216" spans="1:15" x14ac:dyDescent="0.25">
      <c r="A216" s="17"/>
      <c r="B216" s="34"/>
      <c r="C216" s="34"/>
      <c r="D216" s="17"/>
      <c r="E216" s="35"/>
      <c r="F216" s="39"/>
      <c r="G216" s="34"/>
      <c r="H216" s="34"/>
      <c r="I216" s="17"/>
      <c r="J216" s="17"/>
      <c r="K216" s="17"/>
      <c r="L216" s="17"/>
      <c r="M216" s="17"/>
      <c r="N216" s="17"/>
      <c r="O216" s="17"/>
    </row>
    <row r="217" spans="1:15" x14ac:dyDescent="0.25">
      <c r="A217" s="17"/>
      <c r="B217" s="34"/>
      <c r="C217" s="34"/>
      <c r="D217" s="17"/>
      <c r="E217" s="35"/>
      <c r="F217" s="39"/>
      <c r="G217" s="34"/>
      <c r="H217" s="34"/>
      <c r="I217" s="17"/>
      <c r="J217" s="17"/>
      <c r="K217" s="17"/>
      <c r="L217" s="17"/>
      <c r="M217" s="17"/>
      <c r="N217" s="17"/>
      <c r="O217" s="17"/>
    </row>
    <row r="218" spans="1:15" x14ac:dyDescent="0.25">
      <c r="A218" s="17"/>
      <c r="B218" s="34"/>
      <c r="C218" s="34"/>
      <c r="D218" s="17"/>
      <c r="E218" s="35"/>
      <c r="F218" s="39"/>
      <c r="G218" s="34"/>
      <c r="H218" s="34"/>
      <c r="I218" s="17"/>
      <c r="J218" s="17"/>
      <c r="K218" s="17"/>
      <c r="L218" s="17"/>
      <c r="M218" s="17"/>
      <c r="N218" s="17"/>
      <c r="O218" s="17"/>
    </row>
    <row r="219" spans="1:15" x14ac:dyDescent="0.25">
      <c r="A219" s="17"/>
      <c r="B219" s="34"/>
      <c r="C219" s="34"/>
      <c r="D219" s="17"/>
      <c r="E219" s="35"/>
      <c r="F219" s="39"/>
      <c r="G219" s="34"/>
      <c r="H219" s="34"/>
      <c r="I219" s="17"/>
      <c r="J219" s="17"/>
      <c r="K219" s="17"/>
      <c r="L219" s="17"/>
      <c r="M219" s="17"/>
      <c r="N219" s="17"/>
      <c r="O219" s="17"/>
    </row>
    <row r="220" spans="1:15" x14ac:dyDescent="0.25">
      <c r="A220" s="17"/>
      <c r="B220" s="34"/>
      <c r="C220" s="34"/>
      <c r="D220" s="17"/>
      <c r="E220" s="35"/>
      <c r="F220" s="39"/>
      <c r="G220" s="34"/>
      <c r="H220" s="34"/>
      <c r="I220" s="17"/>
      <c r="J220" s="17"/>
      <c r="K220" s="17"/>
      <c r="L220" s="17"/>
      <c r="M220" s="17"/>
      <c r="N220" s="17"/>
      <c r="O220" s="17"/>
    </row>
    <row r="221" spans="1:15" x14ac:dyDescent="0.25">
      <c r="A221" s="17"/>
      <c r="B221" s="34"/>
      <c r="C221" s="34"/>
      <c r="D221" s="17"/>
      <c r="E221" s="35"/>
      <c r="F221" s="39"/>
      <c r="G221" s="34"/>
      <c r="H221" s="34"/>
      <c r="I221" s="17"/>
      <c r="J221" s="17"/>
      <c r="K221" s="17"/>
      <c r="L221" s="17"/>
      <c r="M221" s="17"/>
      <c r="N221" s="17"/>
      <c r="O221" s="17"/>
    </row>
    <row r="222" spans="1:15" x14ac:dyDescent="0.25">
      <c r="A222" s="17"/>
      <c r="B222" s="34"/>
      <c r="C222" s="34"/>
      <c r="D222" s="17"/>
      <c r="E222" s="35"/>
      <c r="F222" s="39"/>
      <c r="G222" s="34"/>
      <c r="H222" s="34"/>
      <c r="I222" s="17"/>
      <c r="J222" s="17"/>
      <c r="K222" s="17"/>
      <c r="L222" s="17"/>
      <c r="M222" s="17"/>
      <c r="N222" s="17"/>
      <c r="O222" s="17"/>
    </row>
    <row r="223" spans="1:15" x14ac:dyDescent="0.25">
      <c r="A223" s="17"/>
      <c r="B223" s="34"/>
      <c r="C223" s="34"/>
      <c r="D223" s="17"/>
      <c r="E223" s="35"/>
      <c r="F223" s="39"/>
      <c r="G223" s="34"/>
      <c r="H223" s="34"/>
      <c r="I223" s="17"/>
      <c r="J223" s="17"/>
      <c r="K223" s="17"/>
      <c r="L223" s="17"/>
      <c r="M223" s="17"/>
      <c r="N223" s="17"/>
      <c r="O223" s="17"/>
    </row>
    <row r="224" spans="1:15" x14ac:dyDescent="0.25">
      <c r="A224" s="17"/>
      <c r="B224" s="34"/>
      <c r="C224" s="34"/>
      <c r="D224" s="17"/>
      <c r="E224" s="35"/>
      <c r="F224" s="39"/>
      <c r="G224" s="34"/>
      <c r="H224" s="34"/>
      <c r="I224" s="17"/>
      <c r="J224" s="17"/>
      <c r="K224" s="17"/>
      <c r="L224" s="17"/>
      <c r="M224" s="17"/>
      <c r="N224" s="17"/>
      <c r="O224" s="17"/>
    </row>
    <row r="225" spans="1:15" x14ac:dyDescent="0.25">
      <c r="A225" s="17"/>
      <c r="B225" s="34"/>
      <c r="C225" s="34"/>
      <c r="D225" s="17"/>
      <c r="E225" s="35"/>
      <c r="F225" s="39"/>
      <c r="G225" s="34"/>
      <c r="H225" s="34"/>
      <c r="I225" s="17"/>
      <c r="J225" s="17"/>
      <c r="K225" s="17"/>
      <c r="L225" s="17"/>
      <c r="M225" s="17"/>
      <c r="N225" s="17"/>
      <c r="O225" s="17"/>
    </row>
    <row r="226" spans="1:15" x14ac:dyDescent="0.25">
      <c r="A226" s="17"/>
      <c r="B226" s="34"/>
      <c r="C226" s="34"/>
      <c r="D226" s="17"/>
      <c r="E226" s="35"/>
      <c r="F226" s="39"/>
      <c r="G226" s="34"/>
      <c r="H226" s="34"/>
      <c r="I226" s="17"/>
      <c r="J226" s="17"/>
      <c r="K226" s="17"/>
      <c r="L226" s="17"/>
      <c r="M226" s="17"/>
      <c r="N226" s="17"/>
      <c r="O226" s="17"/>
    </row>
    <row r="227" spans="1:15" x14ac:dyDescent="0.25">
      <c r="A227" s="17"/>
      <c r="B227" s="34"/>
      <c r="C227" s="34"/>
      <c r="D227" s="17"/>
      <c r="E227" s="35"/>
      <c r="F227" s="39"/>
      <c r="G227" s="34"/>
      <c r="H227" s="34"/>
      <c r="I227" s="17"/>
      <c r="J227" s="17"/>
      <c r="K227" s="17"/>
      <c r="L227" s="17"/>
      <c r="M227" s="17"/>
      <c r="N227" s="17"/>
      <c r="O227" s="17"/>
    </row>
    <row r="228" spans="1:15" x14ac:dyDescent="0.25">
      <c r="A228" s="17"/>
      <c r="B228" s="34"/>
      <c r="C228" s="34"/>
      <c r="D228" s="17"/>
      <c r="E228" s="35"/>
      <c r="F228" s="39"/>
      <c r="G228" s="34"/>
      <c r="H228" s="34"/>
      <c r="I228" s="17"/>
      <c r="J228" s="17"/>
      <c r="K228" s="17"/>
      <c r="L228" s="17"/>
      <c r="M228" s="17"/>
      <c r="N228" s="17"/>
      <c r="O228" s="17"/>
    </row>
    <row r="229" spans="1:15" x14ac:dyDescent="0.25">
      <c r="A229" s="17"/>
      <c r="B229" s="34"/>
      <c r="C229" s="34"/>
      <c r="D229" s="17"/>
      <c r="E229" s="35"/>
      <c r="F229" s="39"/>
      <c r="G229" s="34"/>
      <c r="H229" s="34"/>
      <c r="I229" s="17"/>
      <c r="J229" s="17"/>
      <c r="K229" s="17"/>
      <c r="L229" s="17"/>
      <c r="M229" s="17"/>
      <c r="N229" s="17"/>
      <c r="O229" s="17"/>
    </row>
    <row r="230" spans="1:15" x14ac:dyDescent="0.25">
      <c r="A230" s="17"/>
      <c r="B230" s="34"/>
      <c r="C230" s="34"/>
      <c r="D230" s="17"/>
      <c r="E230" s="35"/>
      <c r="F230" s="39"/>
      <c r="G230" s="34"/>
      <c r="H230" s="34"/>
      <c r="I230" s="17"/>
      <c r="J230" s="17"/>
      <c r="K230" s="17"/>
      <c r="L230" s="17"/>
      <c r="M230" s="17"/>
      <c r="N230" s="17"/>
      <c r="O230" s="17"/>
    </row>
    <row r="231" spans="1:15" x14ac:dyDescent="0.25">
      <c r="A231" s="17"/>
      <c r="B231" s="34"/>
      <c r="C231" s="34"/>
      <c r="D231" s="17"/>
      <c r="E231" s="35"/>
      <c r="F231" s="39"/>
      <c r="G231" s="34"/>
      <c r="H231" s="34"/>
      <c r="I231" s="17"/>
      <c r="J231" s="17"/>
      <c r="K231" s="17"/>
      <c r="L231" s="17"/>
      <c r="M231" s="17"/>
      <c r="N231" s="17"/>
      <c r="O231" s="17"/>
    </row>
    <row r="232" spans="1:15" x14ac:dyDescent="0.25">
      <c r="A232" s="17"/>
      <c r="B232" s="34"/>
      <c r="C232" s="34"/>
      <c r="D232" s="17"/>
      <c r="E232" s="35"/>
      <c r="F232" s="39"/>
      <c r="G232" s="34"/>
      <c r="H232" s="34"/>
      <c r="I232" s="17"/>
      <c r="J232" s="17"/>
      <c r="K232" s="17"/>
      <c r="L232" s="17"/>
      <c r="M232" s="17"/>
      <c r="N232" s="17"/>
      <c r="O232" s="17"/>
    </row>
    <row r="233" spans="1:15" x14ac:dyDescent="0.25">
      <c r="A233" s="17"/>
      <c r="B233" s="34"/>
      <c r="C233" s="34"/>
      <c r="D233" s="17"/>
      <c r="E233" s="35"/>
      <c r="F233" s="39"/>
      <c r="G233" s="34"/>
      <c r="H233" s="34"/>
      <c r="I233" s="17"/>
      <c r="J233" s="17"/>
      <c r="K233" s="17"/>
      <c r="L233" s="17"/>
      <c r="M233" s="17"/>
      <c r="N233" s="17"/>
      <c r="O233" s="17"/>
    </row>
    <row r="234" spans="1:15" x14ac:dyDescent="0.25">
      <c r="A234" s="17"/>
      <c r="B234" s="34"/>
      <c r="C234" s="34"/>
      <c r="D234" s="17"/>
      <c r="E234" s="35"/>
      <c r="F234" s="39"/>
      <c r="G234" s="34"/>
      <c r="H234" s="34"/>
      <c r="I234" s="17"/>
      <c r="J234" s="17"/>
      <c r="K234" s="17"/>
      <c r="L234" s="17"/>
      <c r="M234" s="17"/>
      <c r="N234" s="17"/>
      <c r="O234" s="17"/>
    </row>
    <row r="235" spans="1:15" x14ac:dyDescent="0.25">
      <c r="A235" s="17"/>
      <c r="B235" s="34"/>
      <c r="C235" s="34"/>
      <c r="D235" s="17"/>
      <c r="E235" s="35"/>
      <c r="F235" s="39"/>
      <c r="G235" s="34"/>
      <c r="H235" s="34"/>
      <c r="I235" s="17"/>
      <c r="J235" s="17"/>
      <c r="K235" s="17"/>
      <c r="L235" s="17"/>
      <c r="M235" s="17"/>
      <c r="N235" s="17"/>
      <c r="O235" s="17"/>
    </row>
    <row r="236" spans="1:15" x14ac:dyDescent="0.25">
      <c r="A236" s="17"/>
      <c r="B236" s="34"/>
      <c r="C236" s="34"/>
      <c r="D236" s="17"/>
      <c r="E236" s="35"/>
      <c r="F236" s="39"/>
      <c r="G236" s="34"/>
      <c r="H236" s="34"/>
      <c r="I236" s="17"/>
      <c r="J236" s="17"/>
      <c r="K236" s="17"/>
      <c r="L236" s="17"/>
      <c r="M236" s="17"/>
      <c r="N236" s="17"/>
      <c r="O236" s="17"/>
    </row>
    <row r="237" spans="1:15" x14ac:dyDescent="0.25">
      <c r="A237" s="17"/>
      <c r="B237" s="34"/>
      <c r="C237" s="34"/>
      <c r="D237" s="17"/>
      <c r="E237" s="35"/>
      <c r="F237" s="39"/>
      <c r="G237" s="34"/>
      <c r="H237" s="34"/>
      <c r="I237" s="17"/>
      <c r="J237" s="17"/>
      <c r="K237" s="17"/>
      <c r="L237" s="17"/>
      <c r="M237" s="17"/>
      <c r="N237" s="17"/>
      <c r="O237" s="17"/>
    </row>
    <row r="238" spans="1:15" x14ac:dyDescent="0.25">
      <c r="A238" s="17"/>
      <c r="B238" s="34"/>
      <c r="C238" s="34"/>
      <c r="D238" s="17"/>
      <c r="E238" s="35"/>
      <c r="F238" s="39"/>
      <c r="G238" s="34"/>
      <c r="H238" s="34"/>
      <c r="I238" s="17"/>
      <c r="J238" s="17"/>
      <c r="K238" s="17"/>
      <c r="L238" s="17"/>
      <c r="M238" s="17"/>
      <c r="N238" s="17"/>
      <c r="O238" s="17"/>
    </row>
    <row r="239" spans="1:15" x14ac:dyDescent="0.25">
      <c r="A239" s="17"/>
      <c r="B239" s="34"/>
      <c r="C239" s="34"/>
      <c r="D239" s="17"/>
      <c r="E239" s="35"/>
      <c r="F239" s="39"/>
      <c r="G239" s="34"/>
      <c r="H239" s="34"/>
      <c r="I239" s="17"/>
      <c r="J239" s="17"/>
      <c r="K239" s="17"/>
      <c r="L239" s="17"/>
      <c r="M239" s="17"/>
      <c r="N239" s="17"/>
      <c r="O239" s="17"/>
    </row>
    <row r="240" spans="1:15" x14ac:dyDescent="0.25">
      <c r="A240" s="17"/>
      <c r="B240" s="34"/>
      <c r="C240" s="34"/>
      <c r="D240" s="17"/>
      <c r="E240" s="35"/>
      <c r="F240" s="39"/>
      <c r="G240" s="34"/>
      <c r="H240" s="34"/>
      <c r="I240" s="17"/>
      <c r="J240" s="17"/>
      <c r="K240" s="17"/>
      <c r="L240" s="17"/>
      <c r="M240" s="17"/>
      <c r="N240" s="17"/>
      <c r="O240" s="17"/>
    </row>
    <row r="241" spans="1:15" x14ac:dyDescent="0.25">
      <c r="A241" s="17"/>
      <c r="B241" s="34"/>
      <c r="C241" s="34"/>
      <c r="D241" s="17"/>
      <c r="E241" s="35"/>
      <c r="F241" s="39"/>
      <c r="G241" s="34"/>
      <c r="H241" s="34"/>
      <c r="I241" s="17"/>
      <c r="J241" s="17"/>
      <c r="K241" s="17"/>
      <c r="L241" s="17"/>
      <c r="M241" s="17"/>
      <c r="N241" s="17"/>
      <c r="O241" s="17"/>
    </row>
    <row r="242" spans="1:15" x14ac:dyDescent="0.25">
      <c r="A242" s="17"/>
      <c r="B242" s="34"/>
      <c r="C242" s="34"/>
      <c r="D242" s="17"/>
      <c r="E242" s="35"/>
      <c r="F242" s="39"/>
      <c r="G242" s="34"/>
      <c r="H242" s="34"/>
      <c r="I242" s="17"/>
      <c r="J242" s="17"/>
      <c r="K242" s="17"/>
      <c r="L242" s="17"/>
      <c r="M242" s="17"/>
      <c r="N242" s="17"/>
      <c r="O242" s="17"/>
    </row>
    <row r="243" spans="1:15" x14ac:dyDescent="0.25">
      <c r="A243" s="17"/>
      <c r="B243" s="34"/>
      <c r="C243" s="34"/>
      <c r="D243" s="17"/>
      <c r="E243" s="35"/>
      <c r="F243" s="39"/>
      <c r="G243" s="34"/>
      <c r="H243" s="34"/>
      <c r="I243" s="17"/>
      <c r="J243" s="17"/>
      <c r="K243" s="17"/>
      <c r="L243" s="17"/>
      <c r="M243" s="17"/>
      <c r="N243" s="17"/>
      <c r="O243" s="17"/>
    </row>
    <row r="244" spans="1:15" x14ac:dyDescent="0.25">
      <c r="A244" s="17"/>
      <c r="B244" s="34"/>
      <c r="C244" s="34"/>
      <c r="D244" s="17"/>
      <c r="E244" s="35"/>
      <c r="F244" s="39"/>
      <c r="G244" s="34"/>
      <c r="H244" s="34"/>
      <c r="I244" s="17"/>
      <c r="J244" s="17"/>
      <c r="K244" s="17"/>
      <c r="L244" s="17"/>
      <c r="M244" s="17"/>
      <c r="N244" s="17"/>
      <c r="O244" s="17"/>
    </row>
    <row r="245" spans="1:15" x14ac:dyDescent="0.25">
      <c r="A245" s="17"/>
      <c r="B245" s="34"/>
      <c r="C245" s="34"/>
      <c r="D245" s="17"/>
      <c r="E245" s="35"/>
      <c r="F245" s="39"/>
      <c r="G245" s="34"/>
      <c r="H245" s="34"/>
      <c r="I245" s="17"/>
      <c r="J245" s="17"/>
      <c r="K245" s="17"/>
      <c r="L245" s="17"/>
      <c r="M245" s="17"/>
      <c r="N245" s="17"/>
      <c r="O245" s="17"/>
    </row>
    <row r="246" spans="1:15" x14ac:dyDescent="0.25">
      <c r="A246" s="17"/>
      <c r="B246" s="34"/>
      <c r="C246" s="34"/>
      <c r="D246" s="17"/>
      <c r="E246" s="35"/>
      <c r="F246" s="39"/>
      <c r="G246" s="34"/>
      <c r="H246" s="34"/>
      <c r="I246" s="17"/>
      <c r="J246" s="17"/>
      <c r="K246" s="17"/>
      <c r="L246" s="17"/>
      <c r="M246" s="17"/>
      <c r="N246" s="17"/>
      <c r="O246" s="17"/>
    </row>
    <row r="247" spans="1:15" x14ac:dyDescent="0.25">
      <c r="A247" s="17"/>
      <c r="B247" s="34"/>
      <c r="C247" s="34"/>
      <c r="D247" s="17"/>
      <c r="E247" s="35"/>
      <c r="F247" s="39"/>
      <c r="G247" s="34"/>
      <c r="H247" s="34"/>
      <c r="I247" s="17"/>
      <c r="J247" s="17"/>
    </row>
    <row r="248" spans="1:15" x14ac:dyDescent="0.25">
      <c r="A248" s="17"/>
      <c r="B248" s="34"/>
      <c r="C248" s="34"/>
      <c r="D248" s="17"/>
      <c r="E248" s="35"/>
      <c r="F248" s="39"/>
      <c r="G248" s="34"/>
      <c r="H248" s="34"/>
      <c r="I248" s="17"/>
      <c r="J248" s="17"/>
    </row>
    <row r="249" spans="1:15" x14ac:dyDescent="0.25">
      <c r="A249" s="17"/>
      <c r="B249" s="34"/>
      <c r="C249" s="34"/>
      <c r="D249" s="17"/>
      <c r="E249" s="35"/>
      <c r="F249" s="39"/>
      <c r="G249" s="34"/>
      <c r="H249" s="34"/>
      <c r="I249" s="17"/>
      <c r="J249" s="17"/>
    </row>
    <row r="250" spans="1:15" x14ac:dyDescent="0.25">
      <c r="A250" s="17"/>
      <c r="B250" s="34"/>
      <c r="C250" s="34"/>
      <c r="D250" s="17"/>
      <c r="E250" s="35"/>
      <c r="F250" s="39"/>
      <c r="G250" s="34"/>
      <c r="H250" s="34"/>
      <c r="I250" s="17"/>
      <c r="J250" s="17"/>
    </row>
    <row r="251" spans="1:15" x14ac:dyDescent="0.25">
      <c r="A251" s="17"/>
      <c r="B251" s="34"/>
      <c r="C251" s="34"/>
      <c r="D251" s="17"/>
      <c r="E251" s="35"/>
      <c r="F251" s="39"/>
      <c r="G251" s="34"/>
      <c r="H251" s="34"/>
      <c r="I251" s="17"/>
      <c r="J251" s="17"/>
    </row>
    <row r="252" spans="1:15" x14ac:dyDescent="0.25">
      <c r="A252" s="17"/>
      <c r="B252" s="34"/>
      <c r="C252" s="34"/>
      <c r="D252" s="17"/>
      <c r="E252" s="35"/>
      <c r="F252" s="39"/>
      <c r="G252" s="34"/>
      <c r="H252" s="34"/>
      <c r="I252" s="17"/>
      <c r="J252" s="17"/>
    </row>
    <row r="253" spans="1:15" x14ac:dyDescent="0.25">
      <c r="A253" s="17"/>
      <c r="B253" s="34"/>
      <c r="C253" s="34"/>
      <c r="D253" s="17"/>
      <c r="E253" s="35"/>
      <c r="F253" s="39"/>
      <c r="G253" s="34"/>
      <c r="H253" s="34"/>
      <c r="I253" s="17"/>
      <c r="J253" s="17"/>
    </row>
    <row r="254" spans="1:15" x14ac:dyDescent="0.25">
      <c r="A254" s="17"/>
      <c r="B254" s="34"/>
      <c r="C254" s="34"/>
      <c r="D254" s="17"/>
      <c r="E254" s="35"/>
      <c r="F254" s="39"/>
      <c r="G254" s="34"/>
      <c r="H254" s="34"/>
      <c r="I254" s="17"/>
      <c r="J254" s="17"/>
    </row>
    <row r="255" spans="1:15" x14ac:dyDescent="0.25">
      <c r="A255" s="17"/>
      <c r="B255" s="34"/>
      <c r="C255" s="34"/>
      <c r="D255" s="17"/>
      <c r="E255" s="35"/>
      <c r="F255" s="39"/>
      <c r="G255" s="34"/>
      <c r="H255" s="34"/>
      <c r="I255" s="17"/>
      <c r="J255" s="17"/>
    </row>
    <row r="256" spans="1:15" x14ac:dyDescent="0.25">
      <c r="A256" s="17"/>
      <c r="B256" s="34"/>
      <c r="C256" s="34"/>
      <c r="D256" s="17"/>
      <c r="E256" s="35"/>
      <c r="F256" s="39"/>
      <c r="G256" s="34"/>
      <c r="H256" s="34"/>
      <c r="I256" s="17"/>
      <c r="J256" s="17"/>
    </row>
    <row r="257" spans="1:10" x14ac:dyDescent="0.25">
      <c r="A257" s="17"/>
      <c r="B257" s="34"/>
      <c r="C257" s="34"/>
      <c r="D257" s="17"/>
      <c r="E257" s="35"/>
      <c r="F257" s="39"/>
      <c r="G257" s="34"/>
      <c r="H257" s="34"/>
      <c r="I257" s="17"/>
      <c r="J257" s="17"/>
    </row>
    <row r="258" spans="1:10" x14ac:dyDescent="0.25">
      <c r="A258" s="17"/>
      <c r="B258" s="34"/>
      <c r="C258" s="34"/>
      <c r="D258" s="17"/>
      <c r="E258" s="35"/>
      <c r="F258" s="39"/>
      <c r="G258" s="34"/>
      <c r="H258" s="34"/>
      <c r="I258" s="17"/>
      <c r="J258" s="17"/>
    </row>
    <row r="259" spans="1:10" x14ac:dyDescent="0.25">
      <c r="A259" s="17"/>
      <c r="B259" s="34"/>
      <c r="C259" s="34"/>
      <c r="D259" s="17"/>
      <c r="E259" s="35"/>
      <c r="F259" s="39"/>
      <c r="G259" s="34"/>
      <c r="H259" s="34"/>
      <c r="I259" s="17"/>
      <c r="J259" s="17"/>
    </row>
    <row r="260" spans="1:10" x14ac:dyDescent="0.25">
      <c r="A260" s="17"/>
      <c r="B260" s="34"/>
      <c r="C260" s="34"/>
      <c r="D260" s="17"/>
      <c r="E260" s="35"/>
      <c r="F260" s="39"/>
      <c r="G260" s="34"/>
      <c r="H260" s="34"/>
      <c r="I260" s="17"/>
      <c r="J260" s="17"/>
    </row>
    <row r="261" spans="1:10" x14ac:dyDescent="0.25">
      <c r="A261" s="17"/>
      <c r="B261" s="34"/>
      <c r="C261" s="34"/>
      <c r="D261" s="17"/>
      <c r="E261" s="35"/>
      <c r="F261" s="39"/>
      <c r="G261" s="34"/>
      <c r="H261" s="34"/>
      <c r="I261" s="17"/>
      <c r="J261" s="17"/>
    </row>
    <row r="262" spans="1:10" x14ac:dyDescent="0.25">
      <c r="A262" s="17"/>
      <c r="B262" s="34"/>
      <c r="C262" s="34"/>
      <c r="D262" s="17"/>
      <c r="E262" s="35"/>
      <c r="F262" s="39"/>
      <c r="G262" s="34"/>
      <c r="H262" s="34"/>
      <c r="I262" s="17"/>
      <c r="J262" s="17"/>
    </row>
    <row r="263" spans="1:10" x14ac:dyDescent="0.25">
      <c r="A263" s="17"/>
      <c r="B263" s="34"/>
      <c r="C263" s="34"/>
      <c r="D263" s="17"/>
      <c r="E263" s="35"/>
      <c r="F263" s="39"/>
      <c r="G263" s="34"/>
      <c r="H263" s="34"/>
      <c r="I263" s="17"/>
      <c r="J263" s="17"/>
    </row>
    <row r="264" spans="1:10" x14ac:dyDescent="0.25">
      <c r="A264" s="17"/>
      <c r="B264" s="34"/>
      <c r="C264" s="34"/>
      <c r="D264" s="17"/>
      <c r="E264" s="35"/>
      <c r="F264" s="39"/>
      <c r="G264" s="34"/>
      <c r="H264" s="34"/>
      <c r="I264" s="17"/>
      <c r="J264" s="17"/>
    </row>
    <row r="265" spans="1:10" x14ac:dyDescent="0.25">
      <c r="A265" s="17"/>
      <c r="B265" s="34"/>
      <c r="C265" s="34"/>
      <c r="D265" s="17"/>
      <c r="E265" s="35"/>
      <c r="F265" s="39"/>
      <c r="G265" s="34"/>
      <c r="H265" s="34"/>
      <c r="I265" s="17"/>
      <c r="J265" s="17"/>
    </row>
    <row r="266" spans="1:10" x14ac:dyDescent="0.25">
      <c r="A266" s="17"/>
      <c r="B266" s="34"/>
      <c r="C266" s="34"/>
      <c r="D266" s="17"/>
      <c r="E266" s="35"/>
      <c r="F266" s="39"/>
      <c r="G266" s="34"/>
      <c r="H266" s="34"/>
      <c r="I266" s="17"/>
      <c r="J266" s="17"/>
    </row>
    <row r="267" spans="1:10" x14ac:dyDescent="0.25">
      <c r="A267" s="17"/>
      <c r="B267" s="34"/>
      <c r="C267" s="34"/>
      <c r="D267" s="17"/>
      <c r="E267" s="35"/>
      <c r="F267" s="39"/>
      <c r="G267" s="34"/>
      <c r="H267" s="34"/>
      <c r="I267" s="17"/>
      <c r="J267" s="17"/>
    </row>
    <row r="268" spans="1:10" x14ac:dyDescent="0.25">
      <c r="A268" s="17"/>
      <c r="B268" s="34"/>
      <c r="C268" s="34"/>
      <c r="D268" s="17"/>
      <c r="E268" s="35"/>
      <c r="F268" s="39"/>
      <c r="G268" s="34"/>
      <c r="H268" s="34"/>
      <c r="I268" s="17"/>
      <c r="J268" s="17"/>
    </row>
    <row r="269" spans="1:10" x14ac:dyDescent="0.25">
      <c r="A269" s="17"/>
      <c r="B269" s="34"/>
      <c r="C269" s="34"/>
      <c r="D269" s="17"/>
      <c r="E269" s="35"/>
      <c r="F269" s="39"/>
      <c r="G269" s="34"/>
      <c r="H269" s="34"/>
      <c r="I269" s="17"/>
      <c r="J269" s="17"/>
    </row>
    <row r="270" spans="1:10" x14ac:dyDescent="0.25">
      <c r="A270" s="17"/>
      <c r="B270" s="34"/>
      <c r="C270" s="34"/>
      <c r="D270" s="17"/>
      <c r="E270" s="35"/>
      <c r="F270" s="39"/>
      <c r="G270" s="34"/>
      <c r="H270" s="34"/>
      <c r="I270" s="17"/>
      <c r="J270" s="17"/>
    </row>
    <row r="271" spans="1:10" x14ac:dyDescent="0.25">
      <c r="A271" s="17"/>
      <c r="B271" s="34"/>
      <c r="C271" s="34"/>
      <c r="D271" s="17"/>
      <c r="E271" s="35"/>
      <c r="F271" s="39"/>
      <c r="G271" s="34"/>
      <c r="H271" s="34"/>
      <c r="I271" s="17"/>
      <c r="J271" s="17"/>
    </row>
    <row r="272" spans="1:10" x14ac:dyDescent="0.25">
      <c r="A272" s="17"/>
      <c r="B272" s="34"/>
      <c r="C272" s="34"/>
      <c r="D272" s="17"/>
      <c r="E272" s="35"/>
      <c r="F272" s="39"/>
      <c r="G272" s="34"/>
      <c r="H272" s="34"/>
      <c r="I272" s="17"/>
      <c r="J272" s="17"/>
    </row>
    <row r="273" spans="1:10" x14ac:dyDescent="0.25">
      <c r="A273" s="17"/>
      <c r="B273" s="34"/>
      <c r="C273" s="34"/>
      <c r="D273" s="17"/>
      <c r="E273" s="35"/>
      <c r="F273" s="39"/>
      <c r="G273" s="34"/>
      <c r="H273" s="34"/>
      <c r="I273" s="17"/>
      <c r="J273" s="17"/>
    </row>
    <row r="274" spans="1:10" x14ac:dyDescent="0.25">
      <c r="A274" s="17"/>
      <c r="B274" s="34"/>
      <c r="C274" s="34"/>
      <c r="D274" s="17"/>
      <c r="E274" s="35"/>
      <c r="F274" s="39"/>
      <c r="G274" s="34"/>
      <c r="H274" s="34"/>
      <c r="I274" s="17"/>
      <c r="J274" s="17"/>
    </row>
    <row r="275" spans="1:10" x14ac:dyDescent="0.25">
      <c r="A275" s="17"/>
      <c r="B275" s="34"/>
      <c r="C275" s="34"/>
      <c r="D275" s="17"/>
      <c r="E275" s="35"/>
      <c r="F275" s="39"/>
      <c r="G275" s="34"/>
      <c r="H275" s="34"/>
      <c r="I275" s="17"/>
      <c r="J275" s="17"/>
    </row>
    <row r="276" spans="1:10" x14ac:dyDescent="0.25">
      <c r="A276" s="17"/>
      <c r="B276" s="34"/>
      <c r="C276" s="34"/>
      <c r="D276" s="17"/>
      <c r="E276" s="35"/>
      <c r="F276" s="39"/>
      <c r="G276" s="34"/>
      <c r="H276" s="34"/>
      <c r="I276" s="17"/>
      <c r="J276" s="17"/>
    </row>
    <row r="277" spans="1:10" x14ac:dyDescent="0.25">
      <c r="A277" s="17"/>
      <c r="B277" s="34"/>
      <c r="C277" s="34"/>
      <c r="D277" s="17"/>
      <c r="E277" s="35"/>
      <c r="F277" s="39"/>
      <c r="G277" s="34"/>
      <c r="H277" s="34"/>
      <c r="I277" s="17"/>
      <c r="J277" s="17"/>
    </row>
    <row r="278" spans="1:10" x14ac:dyDescent="0.25">
      <c r="A278" s="17"/>
      <c r="B278" s="34"/>
      <c r="C278" s="34"/>
      <c r="D278" s="17"/>
      <c r="E278" s="35"/>
      <c r="F278" s="39"/>
      <c r="G278" s="34"/>
      <c r="H278" s="34"/>
      <c r="I278" s="17"/>
      <c r="J278" s="17"/>
    </row>
    <row r="279" spans="1:10" x14ac:dyDescent="0.25">
      <c r="A279" s="17"/>
      <c r="B279" s="34"/>
      <c r="C279" s="34"/>
      <c r="D279" s="17"/>
      <c r="E279" s="35"/>
      <c r="F279" s="39"/>
      <c r="G279" s="34"/>
      <c r="H279" s="34"/>
      <c r="I279" s="17"/>
      <c r="J279" s="17"/>
    </row>
    <row r="280" spans="1:10" x14ac:dyDescent="0.25">
      <c r="A280" s="17"/>
      <c r="B280" s="34"/>
      <c r="C280" s="34"/>
      <c r="D280" s="17"/>
      <c r="E280" s="35"/>
      <c r="F280" s="39"/>
      <c r="G280" s="34"/>
      <c r="H280" s="34"/>
      <c r="I280" s="17"/>
      <c r="J280" s="17"/>
    </row>
    <row r="281" spans="1:10" x14ac:dyDescent="0.25">
      <c r="A281" s="17"/>
      <c r="B281" s="34"/>
      <c r="C281" s="34"/>
      <c r="D281" s="17"/>
      <c r="E281" s="35"/>
      <c r="F281" s="39"/>
      <c r="G281" s="34"/>
      <c r="H281" s="34"/>
      <c r="I281" s="17"/>
      <c r="J281" s="17"/>
    </row>
    <row r="282" spans="1:10" x14ac:dyDescent="0.25">
      <c r="A282" s="17"/>
      <c r="B282" s="34"/>
      <c r="C282" s="34"/>
      <c r="D282" s="17"/>
      <c r="E282" s="35"/>
      <c r="F282" s="39"/>
      <c r="G282" s="34"/>
      <c r="H282" s="34"/>
      <c r="I282" s="17"/>
      <c r="J282" s="17"/>
    </row>
    <row r="283" spans="1:10" x14ac:dyDescent="0.25">
      <c r="A283" s="17"/>
      <c r="B283" s="34"/>
      <c r="C283" s="34"/>
      <c r="D283" s="17"/>
      <c r="E283" s="35"/>
      <c r="F283" s="39"/>
      <c r="G283" s="34"/>
      <c r="H283" s="34"/>
      <c r="I283" s="17"/>
      <c r="J283" s="17"/>
    </row>
    <row r="284" spans="1:10" x14ac:dyDescent="0.25">
      <c r="A284" s="17"/>
      <c r="B284" s="34"/>
      <c r="C284" s="34"/>
      <c r="D284" s="17"/>
      <c r="E284" s="35"/>
      <c r="F284" s="39"/>
      <c r="G284" s="34"/>
      <c r="H284" s="34"/>
      <c r="I284" s="17"/>
      <c r="J284" s="17"/>
    </row>
    <row r="285" spans="1:10" x14ac:dyDescent="0.25">
      <c r="A285" s="17"/>
      <c r="B285" s="34"/>
      <c r="C285" s="34"/>
      <c r="D285" s="17"/>
      <c r="E285" s="35"/>
      <c r="F285" s="39"/>
      <c r="G285" s="34"/>
      <c r="H285" s="34"/>
      <c r="I285" s="17"/>
      <c r="J285" s="17"/>
    </row>
    <row r="286" spans="1:10" x14ac:dyDescent="0.25">
      <c r="A286" s="17"/>
      <c r="B286" s="34"/>
      <c r="C286" s="34"/>
      <c r="D286" s="17"/>
      <c r="E286" s="35"/>
      <c r="F286" s="39"/>
      <c r="G286" s="34"/>
      <c r="H286" s="34"/>
      <c r="I286" s="17"/>
      <c r="J286" s="17"/>
    </row>
    <row r="287" spans="1:10" x14ac:dyDescent="0.25">
      <c r="A287" s="17"/>
      <c r="B287" s="34"/>
      <c r="C287" s="34"/>
      <c r="D287" s="17"/>
      <c r="E287" s="35"/>
      <c r="F287" s="39"/>
      <c r="G287" s="34"/>
      <c r="H287" s="34"/>
      <c r="I287" s="17"/>
      <c r="J287" s="17"/>
    </row>
    <row r="288" spans="1:10" x14ac:dyDescent="0.25">
      <c r="A288" s="17"/>
      <c r="B288" s="34"/>
      <c r="C288" s="34"/>
      <c r="D288" s="17"/>
      <c r="E288" s="35"/>
      <c r="F288" s="39"/>
      <c r="G288" s="34"/>
      <c r="H288" s="34"/>
      <c r="I288" s="17"/>
      <c r="J288" s="17"/>
    </row>
    <row r="289" spans="1:10" x14ac:dyDescent="0.25">
      <c r="A289" s="17"/>
      <c r="B289" s="34"/>
      <c r="C289" s="34"/>
      <c r="D289" s="17"/>
      <c r="E289" s="35"/>
      <c r="F289" s="39"/>
      <c r="G289" s="34"/>
      <c r="H289" s="34"/>
      <c r="I289" s="17"/>
      <c r="J289" s="17"/>
    </row>
    <row r="290" spans="1:10" x14ac:dyDescent="0.25">
      <c r="A290" s="17"/>
      <c r="B290" s="34"/>
      <c r="C290" s="34"/>
      <c r="D290" s="17"/>
      <c r="E290" s="35"/>
      <c r="F290" s="39"/>
      <c r="G290" s="34"/>
      <c r="H290" s="34"/>
      <c r="I290" s="17"/>
      <c r="J290" s="17"/>
    </row>
    <row r="291" spans="1:10" x14ac:dyDescent="0.25">
      <c r="A291" s="17"/>
      <c r="B291" s="34"/>
      <c r="C291" s="34"/>
      <c r="D291" s="17"/>
      <c r="E291" s="35"/>
      <c r="F291" s="39"/>
      <c r="G291" s="34"/>
      <c r="H291" s="34"/>
      <c r="I291" s="17"/>
      <c r="J291" s="17"/>
    </row>
    <row r="292" spans="1:10" x14ac:dyDescent="0.25">
      <c r="A292" s="17"/>
      <c r="B292" s="34"/>
      <c r="C292" s="34"/>
      <c r="D292" s="17"/>
      <c r="E292" s="35"/>
      <c r="F292" s="39"/>
      <c r="G292" s="34"/>
      <c r="H292" s="34"/>
      <c r="I292" s="17"/>
      <c r="J292" s="17"/>
    </row>
    <row r="293" spans="1:10" x14ac:dyDescent="0.25">
      <c r="A293" s="17"/>
      <c r="B293" s="34"/>
      <c r="C293" s="34"/>
      <c r="D293" s="17"/>
      <c r="E293" s="35"/>
      <c r="F293" s="39"/>
      <c r="G293" s="34"/>
      <c r="H293" s="34"/>
      <c r="I293" s="17"/>
      <c r="J293" s="17"/>
    </row>
    <row r="294" spans="1:10" x14ac:dyDescent="0.25">
      <c r="A294" s="17"/>
      <c r="B294" s="34"/>
      <c r="C294" s="34"/>
      <c r="D294" s="17"/>
      <c r="E294" s="35"/>
      <c r="F294" s="39"/>
      <c r="G294" s="34"/>
      <c r="H294" s="34"/>
      <c r="I294" s="17"/>
      <c r="J294" s="17"/>
    </row>
    <row r="295" spans="1:10" x14ac:dyDescent="0.25">
      <c r="A295" s="17"/>
      <c r="B295" s="34"/>
      <c r="C295" s="34"/>
      <c r="D295" s="17"/>
      <c r="E295" s="35"/>
      <c r="F295" s="39"/>
      <c r="G295" s="34"/>
      <c r="H295" s="34"/>
      <c r="I295" s="17"/>
      <c r="J295" s="17"/>
    </row>
    <row r="296" spans="1:10" x14ac:dyDescent="0.25">
      <c r="A296" s="17"/>
      <c r="B296" s="34"/>
      <c r="C296" s="34"/>
      <c r="D296" s="17"/>
      <c r="E296" s="35"/>
      <c r="F296" s="39"/>
      <c r="G296" s="34"/>
      <c r="H296" s="34"/>
      <c r="I296" s="17"/>
      <c r="J296" s="17"/>
    </row>
    <row r="297" spans="1:10" x14ac:dyDescent="0.25">
      <c r="A297" s="17"/>
      <c r="B297" s="34"/>
      <c r="C297" s="34"/>
      <c r="D297" s="17"/>
      <c r="E297" s="35"/>
      <c r="F297" s="39"/>
      <c r="G297" s="34"/>
      <c r="H297" s="34"/>
      <c r="I297" s="17"/>
      <c r="J297" s="17"/>
    </row>
    <row r="298" spans="1:10" x14ac:dyDescent="0.25">
      <c r="A298" s="17"/>
      <c r="B298" s="34"/>
      <c r="C298" s="34"/>
      <c r="D298" s="17"/>
      <c r="E298" s="35"/>
      <c r="F298" s="39"/>
      <c r="G298" s="34"/>
      <c r="H298" s="34"/>
      <c r="I298" s="17"/>
      <c r="J298" s="17"/>
    </row>
    <row r="299" spans="1:10" x14ac:dyDescent="0.25">
      <c r="A299" s="17"/>
      <c r="B299" s="34"/>
      <c r="C299" s="34"/>
      <c r="D299" s="17"/>
      <c r="E299" s="35"/>
      <c r="F299" s="39"/>
      <c r="G299" s="34"/>
      <c r="H299" s="34"/>
      <c r="I299" s="17"/>
      <c r="J299" s="17"/>
    </row>
    <row r="300" spans="1:10" x14ac:dyDescent="0.25">
      <c r="A300" s="17"/>
      <c r="B300" s="34"/>
      <c r="C300" s="34"/>
      <c r="D300" s="17"/>
      <c r="E300" s="35"/>
      <c r="F300" s="39"/>
      <c r="G300" s="34"/>
      <c r="H300" s="34"/>
      <c r="I300" s="17"/>
      <c r="J300" s="17"/>
    </row>
    <row r="301" spans="1:10" x14ac:dyDescent="0.25">
      <c r="A301" s="17"/>
      <c r="B301" s="34"/>
      <c r="C301" s="34"/>
      <c r="D301" s="17"/>
      <c r="E301" s="35"/>
      <c r="F301" s="39"/>
      <c r="G301" s="34"/>
      <c r="H301" s="34"/>
      <c r="I301" s="17"/>
      <c r="J301" s="17"/>
    </row>
    <row r="302" spans="1:10" x14ac:dyDescent="0.25">
      <c r="A302" s="17"/>
      <c r="B302" s="34"/>
      <c r="C302" s="34"/>
      <c r="D302" s="17"/>
      <c r="E302" s="35"/>
      <c r="F302" s="39"/>
      <c r="G302" s="34"/>
      <c r="H302" s="34"/>
      <c r="I302" s="17"/>
      <c r="J302" s="17"/>
    </row>
    <row r="303" spans="1:10" x14ac:dyDescent="0.25">
      <c r="A303" s="17"/>
      <c r="B303" s="34"/>
      <c r="C303" s="34"/>
      <c r="D303" s="17"/>
      <c r="E303" s="35"/>
      <c r="F303" s="39"/>
      <c r="G303" s="34"/>
      <c r="H303" s="34"/>
      <c r="I303" s="17"/>
      <c r="J303" s="17"/>
    </row>
    <row r="304" spans="1:10" x14ac:dyDescent="0.25">
      <c r="A304" s="17"/>
      <c r="B304" s="34"/>
      <c r="C304" s="34"/>
      <c r="D304" s="17"/>
      <c r="E304" s="35"/>
      <c r="F304" s="39"/>
      <c r="G304" s="34"/>
      <c r="H304" s="34"/>
      <c r="I304" s="17"/>
      <c r="J304" s="17"/>
    </row>
    <row r="305" spans="1:10" x14ac:dyDescent="0.25">
      <c r="A305" s="17"/>
      <c r="B305" s="34"/>
      <c r="C305" s="34"/>
      <c r="D305" s="17"/>
      <c r="E305" s="35"/>
      <c r="F305" s="39"/>
      <c r="G305" s="34"/>
      <c r="H305" s="34"/>
      <c r="I305" s="17"/>
      <c r="J305" s="17"/>
    </row>
    <row r="306" spans="1:10" x14ac:dyDescent="0.25">
      <c r="A306" s="17"/>
      <c r="B306" s="34"/>
      <c r="C306" s="34"/>
      <c r="D306" s="17"/>
      <c r="E306" s="35"/>
      <c r="F306" s="39"/>
      <c r="G306" s="34"/>
      <c r="H306" s="34"/>
      <c r="I306" s="17"/>
      <c r="J306" s="17"/>
    </row>
    <row r="307" spans="1:10" x14ac:dyDescent="0.25">
      <c r="A307" s="17"/>
      <c r="B307" s="34"/>
      <c r="C307" s="34"/>
      <c r="D307" s="17"/>
      <c r="E307" s="35"/>
      <c r="F307" s="39"/>
      <c r="G307" s="34"/>
      <c r="H307" s="34"/>
      <c r="I307" s="17"/>
      <c r="J307" s="17"/>
    </row>
    <row r="308" spans="1:10" x14ac:dyDescent="0.25">
      <c r="A308" s="17"/>
      <c r="B308" s="34"/>
      <c r="C308" s="34"/>
      <c r="D308" s="17"/>
      <c r="E308" s="35"/>
      <c r="F308" s="39"/>
      <c r="G308" s="34"/>
      <c r="H308" s="34"/>
      <c r="I308" s="17"/>
      <c r="J308" s="17"/>
    </row>
    <row r="309" spans="1:10" x14ac:dyDescent="0.25">
      <c r="A309" s="17"/>
      <c r="B309" s="34"/>
      <c r="C309" s="34"/>
      <c r="D309" s="17"/>
      <c r="E309" s="35"/>
      <c r="F309" s="39"/>
      <c r="G309" s="34"/>
      <c r="H309" s="34"/>
      <c r="I309" s="17"/>
      <c r="J309" s="17"/>
    </row>
    <row r="310" spans="1:10" x14ac:dyDescent="0.25">
      <c r="A310" s="17"/>
      <c r="B310" s="34"/>
      <c r="C310" s="34"/>
      <c r="D310" s="17"/>
      <c r="E310" s="35"/>
      <c r="F310" s="39"/>
      <c r="G310" s="34"/>
      <c r="H310" s="34"/>
      <c r="I310" s="17"/>
      <c r="J310" s="17"/>
    </row>
    <row r="311" spans="1:10" x14ac:dyDescent="0.25">
      <c r="A311" s="17"/>
      <c r="B311" s="34"/>
      <c r="C311" s="34"/>
      <c r="D311" s="17"/>
      <c r="E311" s="35"/>
      <c r="F311" s="39"/>
      <c r="G311" s="34"/>
      <c r="H311" s="34"/>
      <c r="I311" s="17"/>
      <c r="J311" s="17"/>
    </row>
    <row r="312" spans="1:10" x14ac:dyDescent="0.25">
      <c r="A312" s="17"/>
      <c r="B312" s="34"/>
      <c r="C312" s="34"/>
      <c r="D312" s="17"/>
      <c r="E312" s="35"/>
      <c r="F312" s="39"/>
      <c r="G312" s="34"/>
      <c r="H312" s="34"/>
      <c r="I312" s="17"/>
      <c r="J312" s="17"/>
    </row>
    <row r="313" spans="1:10" x14ac:dyDescent="0.25">
      <c r="A313" s="17"/>
      <c r="B313" s="34"/>
      <c r="C313" s="34"/>
      <c r="D313" s="17"/>
      <c r="E313" s="35"/>
      <c r="F313" s="39"/>
      <c r="G313" s="34"/>
      <c r="H313" s="34"/>
      <c r="I313" s="17"/>
      <c r="J313" s="17"/>
    </row>
    <row r="314" spans="1:10" x14ac:dyDescent="0.25">
      <c r="A314" s="17"/>
      <c r="B314" s="34"/>
      <c r="C314" s="34"/>
      <c r="D314" s="17"/>
      <c r="E314" s="35"/>
      <c r="F314" s="39"/>
      <c r="G314" s="34"/>
      <c r="H314" s="34"/>
      <c r="I314" s="17"/>
      <c r="J314" s="17"/>
    </row>
    <row r="315" spans="1:10" x14ac:dyDescent="0.25">
      <c r="A315" s="17"/>
      <c r="B315" s="34"/>
      <c r="C315" s="34"/>
      <c r="D315" s="17"/>
      <c r="E315" s="35"/>
      <c r="F315" s="39"/>
      <c r="G315" s="34"/>
      <c r="H315" s="34"/>
      <c r="I315" s="17"/>
      <c r="J315" s="17"/>
    </row>
    <row r="316" spans="1:10" x14ac:dyDescent="0.25">
      <c r="A316" s="17"/>
      <c r="B316" s="34"/>
      <c r="C316" s="34"/>
      <c r="D316" s="17"/>
      <c r="E316" s="35"/>
      <c r="F316" s="39"/>
      <c r="G316" s="34"/>
      <c r="H316" s="34"/>
      <c r="I316" s="17"/>
      <c r="J316" s="17"/>
    </row>
    <row r="317" spans="1:10" x14ac:dyDescent="0.25">
      <c r="A317" s="17"/>
      <c r="B317" s="34"/>
      <c r="C317" s="34"/>
      <c r="D317" s="17"/>
      <c r="E317" s="35"/>
      <c r="F317" s="39"/>
      <c r="G317" s="34"/>
      <c r="H317" s="34"/>
      <c r="I317" s="17"/>
      <c r="J317" s="17"/>
    </row>
    <row r="318" spans="1:10" x14ac:dyDescent="0.25">
      <c r="A318" s="17"/>
      <c r="B318" s="34"/>
      <c r="C318" s="34"/>
      <c r="D318" s="17"/>
      <c r="E318" s="35"/>
      <c r="F318" s="39"/>
      <c r="G318" s="34"/>
      <c r="H318" s="34"/>
      <c r="I318" s="17"/>
      <c r="J318" s="17"/>
    </row>
    <row r="319" spans="1:10" x14ac:dyDescent="0.25">
      <c r="A319" s="17"/>
      <c r="B319" s="34"/>
      <c r="C319" s="34"/>
      <c r="D319" s="17"/>
      <c r="E319" s="35"/>
      <c r="F319" s="39"/>
      <c r="G319" s="34"/>
      <c r="H319" s="34"/>
      <c r="I319" s="17"/>
      <c r="J319" s="17"/>
    </row>
    <row r="320" spans="1:10" x14ac:dyDescent="0.25">
      <c r="A320" s="17"/>
      <c r="B320" s="17"/>
      <c r="C320" s="17"/>
      <c r="D320" s="17"/>
      <c r="E320" s="35"/>
      <c r="F320" s="39"/>
      <c r="G320" s="34"/>
      <c r="H320" s="34"/>
      <c r="I320" s="17"/>
      <c r="J320" s="17"/>
    </row>
    <row r="321" spans="1:10" x14ac:dyDescent="0.25">
      <c r="A321" s="17"/>
      <c r="B321" s="17"/>
      <c r="C321" s="17"/>
      <c r="D321" s="17"/>
      <c r="E321" s="35"/>
      <c r="F321" s="39"/>
      <c r="G321" s="34"/>
      <c r="H321" s="34"/>
      <c r="I321" s="17"/>
      <c r="J321" s="17"/>
    </row>
    <row r="322" spans="1:10" x14ac:dyDescent="0.25">
      <c r="A322" s="17"/>
      <c r="B322" s="17"/>
      <c r="C322" s="17"/>
      <c r="D322" s="17"/>
      <c r="E322" s="35"/>
      <c r="F322" s="39"/>
      <c r="G322" s="34"/>
      <c r="H322" s="34"/>
      <c r="I322" s="17"/>
      <c r="J322" s="17"/>
    </row>
    <row r="323" spans="1:10" x14ac:dyDescent="0.25">
      <c r="A323" s="17"/>
      <c r="B323" s="17"/>
      <c r="C323" s="17"/>
      <c r="D323" s="17"/>
      <c r="E323" s="35"/>
      <c r="F323" s="39"/>
      <c r="G323" s="34"/>
      <c r="H323" s="34"/>
      <c r="I323" s="17"/>
      <c r="J323" s="17"/>
    </row>
    <row r="324" spans="1:10" x14ac:dyDescent="0.25">
      <c r="A324" s="17"/>
      <c r="B324" s="17"/>
      <c r="C324" s="17"/>
      <c r="D324" s="17"/>
      <c r="E324" s="35"/>
      <c r="F324" s="39"/>
      <c r="G324" s="34"/>
      <c r="H324" s="34"/>
      <c r="I324" s="17"/>
      <c r="J324" s="17"/>
    </row>
    <row r="325" spans="1:10" x14ac:dyDescent="0.25">
      <c r="A325" s="17"/>
      <c r="B325" s="17"/>
      <c r="C325" s="17"/>
      <c r="D325" s="17"/>
      <c r="E325" s="35"/>
      <c r="F325" s="39"/>
      <c r="G325" s="34"/>
      <c r="H325" s="34"/>
      <c r="I325" s="17"/>
      <c r="J325" s="17"/>
    </row>
    <row r="326" spans="1:10" x14ac:dyDescent="0.25">
      <c r="A326" s="17"/>
      <c r="B326" s="17"/>
      <c r="C326" s="17"/>
      <c r="D326" s="17"/>
      <c r="E326" s="35"/>
      <c r="F326" s="39"/>
      <c r="G326" s="34"/>
      <c r="H326" s="34"/>
      <c r="I326" s="17"/>
      <c r="J326" s="17"/>
    </row>
    <row r="327" spans="1:10" x14ac:dyDescent="0.25">
      <c r="A327" s="17"/>
      <c r="B327" s="17"/>
      <c r="C327" s="17"/>
      <c r="D327" s="17"/>
      <c r="E327" s="35"/>
      <c r="F327" s="39"/>
      <c r="G327" s="34"/>
      <c r="H327" s="34"/>
      <c r="I327" s="17"/>
      <c r="J327" s="17"/>
    </row>
    <row r="328" spans="1:10" x14ac:dyDescent="0.25">
      <c r="A328" s="17"/>
      <c r="B328" s="17"/>
      <c r="C328" s="17"/>
      <c r="D328" s="17"/>
      <c r="E328" s="35"/>
      <c r="F328" s="39"/>
      <c r="G328" s="34"/>
      <c r="H328" s="34"/>
      <c r="I328" s="17"/>
      <c r="J328" s="17"/>
    </row>
    <row r="329" spans="1:10" x14ac:dyDescent="0.25">
      <c r="A329" s="17"/>
      <c r="B329" s="17"/>
      <c r="C329" s="17"/>
      <c r="D329" s="17"/>
      <c r="E329" s="35"/>
      <c r="F329" s="39"/>
      <c r="G329" s="34"/>
      <c r="H329" s="34"/>
      <c r="I329" s="17"/>
      <c r="J329" s="17"/>
    </row>
    <row r="330" spans="1:10" x14ac:dyDescent="0.25">
      <c r="A330" s="17"/>
      <c r="B330" s="17"/>
      <c r="C330" s="17"/>
      <c r="D330" s="17"/>
      <c r="E330" s="35"/>
      <c r="F330" s="39"/>
      <c r="G330" s="34"/>
      <c r="H330" s="34"/>
      <c r="I330" s="17"/>
      <c r="J330" s="17"/>
    </row>
    <row r="331" spans="1:10" x14ac:dyDescent="0.25">
      <c r="A331" s="17"/>
      <c r="B331" s="17"/>
      <c r="C331" s="17"/>
      <c r="D331" s="17"/>
      <c r="E331" s="35"/>
      <c r="F331" s="39"/>
      <c r="G331" s="34"/>
      <c r="H331" s="34"/>
      <c r="I331" s="17"/>
      <c r="J331" s="17"/>
    </row>
    <row r="332" spans="1:10" x14ac:dyDescent="0.25">
      <c r="A332" s="17"/>
      <c r="B332" s="17"/>
      <c r="C332" s="17"/>
      <c r="D332" s="17"/>
      <c r="E332" s="35"/>
      <c r="F332" s="39"/>
      <c r="G332" s="34"/>
      <c r="H332" s="34"/>
      <c r="I332" s="17"/>
      <c r="J332" s="17"/>
    </row>
    <row r="333" spans="1:10" x14ac:dyDescent="0.25">
      <c r="A333" s="17"/>
      <c r="B333" s="17"/>
      <c r="C333" s="17"/>
      <c r="D333" s="17"/>
      <c r="E333" s="35"/>
      <c r="F333" s="39"/>
      <c r="G333" s="34"/>
      <c r="H333" s="34"/>
      <c r="I333" s="17"/>
      <c r="J333" s="17"/>
    </row>
    <row r="334" spans="1:10" x14ac:dyDescent="0.25">
      <c r="A334" s="17"/>
      <c r="B334" s="17"/>
      <c r="C334" s="17"/>
      <c r="D334" s="17"/>
      <c r="E334" s="35"/>
      <c r="F334" s="39"/>
      <c r="G334" s="34"/>
      <c r="H334" s="34"/>
      <c r="I334" s="17"/>
      <c r="J334" s="17"/>
    </row>
    <row r="335" spans="1:10" x14ac:dyDescent="0.25">
      <c r="A335" s="17"/>
      <c r="B335" s="17"/>
      <c r="C335" s="17"/>
      <c r="D335" s="17"/>
      <c r="E335" s="35"/>
      <c r="F335" s="39"/>
      <c r="G335" s="34"/>
      <c r="H335" s="34"/>
      <c r="I335" s="17"/>
      <c r="J335" s="17"/>
    </row>
    <row r="336" spans="1:10" x14ac:dyDescent="0.25">
      <c r="A336" s="17"/>
      <c r="B336" s="17"/>
      <c r="C336" s="17"/>
      <c r="D336" s="17"/>
      <c r="E336" s="35"/>
      <c r="F336" s="39"/>
      <c r="G336" s="34"/>
      <c r="H336" s="34"/>
      <c r="I336" s="17"/>
      <c r="J336" s="17"/>
    </row>
    <row r="337" spans="1:10" x14ac:dyDescent="0.25">
      <c r="A337" s="17"/>
      <c r="B337" s="17"/>
      <c r="C337" s="17"/>
      <c r="D337" s="17"/>
      <c r="E337" s="35"/>
      <c r="F337" s="39"/>
      <c r="G337" s="34"/>
      <c r="H337" s="34"/>
      <c r="I337" s="17"/>
      <c r="J337" s="17"/>
    </row>
    <row r="338" spans="1:10" x14ac:dyDescent="0.25">
      <c r="A338" s="17"/>
      <c r="B338" s="17"/>
      <c r="C338" s="17"/>
      <c r="D338" s="17"/>
      <c r="E338" s="35"/>
      <c r="F338" s="39"/>
      <c r="G338" s="34"/>
      <c r="H338" s="34"/>
      <c r="I338" s="17"/>
      <c r="J338" s="17"/>
    </row>
    <row r="339" spans="1:10" x14ac:dyDescent="0.25">
      <c r="A339" s="17"/>
      <c r="B339" s="17"/>
      <c r="C339" s="17"/>
      <c r="D339" s="17"/>
      <c r="E339" s="35"/>
      <c r="F339" s="39"/>
      <c r="G339" s="34"/>
      <c r="H339" s="34"/>
      <c r="I339" s="17"/>
      <c r="J339" s="17"/>
    </row>
    <row r="340" spans="1:10" x14ac:dyDescent="0.25">
      <c r="A340" s="17"/>
      <c r="B340" s="17"/>
      <c r="C340" s="17"/>
      <c r="D340" s="17"/>
      <c r="E340" s="35"/>
      <c r="F340" s="39"/>
      <c r="G340" s="34"/>
      <c r="H340" s="34"/>
      <c r="I340" s="17"/>
      <c r="J340" s="17"/>
    </row>
    <row r="341" spans="1:10" x14ac:dyDescent="0.25">
      <c r="A341" s="17"/>
      <c r="B341" s="17"/>
      <c r="C341" s="17"/>
      <c r="D341" s="17"/>
      <c r="E341" s="35"/>
      <c r="F341" s="39"/>
      <c r="G341" s="34"/>
      <c r="H341" s="34"/>
      <c r="I341" s="17"/>
      <c r="J341" s="17"/>
    </row>
    <row r="342" spans="1:10" x14ac:dyDescent="0.25">
      <c r="A342" s="17"/>
      <c r="B342" s="17"/>
      <c r="C342" s="17"/>
      <c r="D342" s="17"/>
      <c r="E342" s="35"/>
      <c r="F342" s="39"/>
      <c r="G342" s="34"/>
      <c r="H342" s="34"/>
      <c r="I342" s="17"/>
      <c r="J342" s="17"/>
    </row>
    <row r="343" spans="1:10" x14ac:dyDescent="0.25">
      <c r="A343" s="17"/>
      <c r="B343" s="17"/>
      <c r="C343" s="17"/>
      <c r="D343" s="17"/>
      <c r="E343" s="35"/>
      <c r="F343" s="39"/>
      <c r="G343" s="34"/>
      <c r="H343" s="34"/>
      <c r="I343" s="17"/>
      <c r="J343" s="17"/>
    </row>
    <row r="344" spans="1:10" x14ac:dyDescent="0.25">
      <c r="A344" s="17"/>
      <c r="B344" s="17"/>
      <c r="C344" s="17"/>
      <c r="D344" s="17"/>
      <c r="E344" s="35"/>
      <c r="F344" s="39"/>
      <c r="G344" s="34"/>
      <c r="H344" s="34"/>
      <c r="I344" s="17"/>
      <c r="J344" s="17"/>
    </row>
    <row r="345" spans="1:10" x14ac:dyDescent="0.25">
      <c r="A345" s="17"/>
      <c r="B345" s="17"/>
      <c r="C345" s="17"/>
      <c r="D345" s="17"/>
      <c r="E345" s="35"/>
      <c r="F345" s="39"/>
      <c r="G345" s="34"/>
      <c r="H345" s="34"/>
      <c r="I345" s="17"/>
      <c r="J345" s="17"/>
    </row>
    <row r="346" spans="1:10" x14ac:dyDescent="0.25">
      <c r="A346" s="17"/>
      <c r="B346" s="17"/>
      <c r="C346" s="17"/>
      <c r="D346" s="17"/>
      <c r="E346" s="35"/>
      <c r="F346" s="39"/>
      <c r="G346" s="34"/>
      <c r="H346" s="34"/>
      <c r="I346" s="17"/>
      <c r="J346" s="17"/>
    </row>
    <row r="347" spans="1:10" x14ac:dyDescent="0.25">
      <c r="A347" s="17"/>
      <c r="B347" s="17"/>
      <c r="C347" s="17"/>
      <c r="D347" s="17"/>
      <c r="E347" s="35"/>
      <c r="F347" s="39"/>
      <c r="G347" s="34"/>
      <c r="H347" s="34"/>
      <c r="I347" s="17"/>
      <c r="J347" s="17"/>
    </row>
    <row r="348" spans="1:10" x14ac:dyDescent="0.25">
      <c r="A348" s="17"/>
      <c r="B348" s="17"/>
      <c r="C348" s="17"/>
      <c r="D348" s="17"/>
      <c r="E348" s="35"/>
      <c r="F348" s="39"/>
      <c r="G348" s="34"/>
      <c r="H348" s="34"/>
      <c r="I348" s="17"/>
      <c r="J348" s="17"/>
    </row>
    <row r="349" spans="1:10" x14ac:dyDescent="0.25">
      <c r="A349" s="17"/>
      <c r="B349" s="17"/>
      <c r="C349" s="17"/>
      <c r="D349" s="17"/>
      <c r="E349" s="35"/>
      <c r="F349" s="39"/>
      <c r="G349" s="34"/>
      <c r="H349" s="34"/>
      <c r="I349" s="17"/>
    </row>
    <row r="350" spans="1:10" x14ac:dyDescent="0.25">
      <c r="H350" s="34"/>
    </row>
    <row r="351" spans="1:10" x14ac:dyDescent="0.25">
      <c r="H351" s="34"/>
    </row>
    <row r="352" spans="1:10" x14ac:dyDescent="0.25">
      <c r="H352" s="34"/>
    </row>
    <row r="353" spans="8:8" x14ac:dyDescent="0.25">
      <c r="H353" s="34"/>
    </row>
    <row r="354" spans="8:8" x14ac:dyDescent="0.25">
      <c r="H354" s="34"/>
    </row>
    <row r="355" spans="8:8" x14ac:dyDescent="0.25">
      <c r="H355" s="34"/>
    </row>
    <row r="356" spans="8:8" x14ac:dyDescent="0.25">
      <c r="H356" s="34"/>
    </row>
    <row r="357" spans="8:8" x14ac:dyDescent="0.25">
      <c r="H357" s="34"/>
    </row>
    <row r="358" spans="8:8" x14ac:dyDescent="0.25">
      <c r="H358" s="34"/>
    </row>
    <row r="359" spans="8:8" x14ac:dyDescent="0.25">
      <c r="H359" s="34"/>
    </row>
    <row r="360" spans="8:8" x14ac:dyDescent="0.25">
      <c r="H360" s="34"/>
    </row>
    <row r="361" spans="8:8" x14ac:dyDescent="0.25">
      <c r="H361" s="34"/>
    </row>
    <row r="362" spans="8:8" x14ac:dyDescent="0.25">
      <c r="H362" s="34"/>
    </row>
    <row r="363" spans="8:8" x14ac:dyDescent="0.25">
      <c r="H363" s="34"/>
    </row>
    <row r="364" spans="8:8" x14ac:dyDescent="0.25">
      <c r="H364" s="34"/>
    </row>
    <row r="365" spans="8:8" x14ac:dyDescent="0.25">
      <c r="H365" s="34"/>
    </row>
    <row r="366" spans="8:8" x14ac:dyDescent="0.25">
      <c r="H366" s="34"/>
    </row>
    <row r="367" spans="8:8" x14ac:dyDescent="0.25">
      <c r="H367" s="34"/>
    </row>
    <row r="368" spans="8:8" x14ac:dyDescent="0.25">
      <c r="H368" s="34"/>
    </row>
    <row r="369" spans="8:8" x14ac:dyDescent="0.25">
      <c r="H369" s="34"/>
    </row>
    <row r="370" spans="8:8" x14ac:dyDescent="0.25">
      <c r="H370" s="34"/>
    </row>
    <row r="371" spans="8:8" x14ac:dyDescent="0.25">
      <c r="H371" s="34"/>
    </row>
    <row r="372" spans="8:8" x14ac:dyDescent="0.25">
      <c r="H372" s="34"/>
    </row>
    <row r="373" spans="8:8" x14ac:dyDescent="0.25">
      <c r="H373" s="34"/>
    </row>
    <row r="374" spans="8:8" x14ac:dyDescent="0.25">
      <c r="H374" s="34"/>
    </row>
    <row r="375" spans="8:8" x14ac:dyDescent="0.25">
      <c r="H375" s="34"/>
    </row>
    <row r="376" spans="8:8" x14ac:dyDescent="0.25">
      <c r="H376" s="34"/>
    </row>
    <row r="377" spans="8:8" x14ac:dyDescent="0.25">
      <c r="H377" s="34"/>
    </row>
    <row r="378" spans="8:8" x14ac:dyDescent="0.25">
      <c r="H378" s="34"/>
    </row>
    <row r="379" spans="8:8" x14ac:dyDescent="0.25">
      <c r="H379" s="34"/>
    </row>
    <row r="380" spans="8:8" x14ac:dyDescent="0.25">
      <c r="H380" s="34"/>
    </row>
    <row r="381" spans="8:8" x14ac:dyDescent="0.25">
      <c r="H381" s="34"/>
    </row>
    <row r="382" spans="8:8" x14ac:dyDescent="0.25">
      <c r="H382" s="34"/>
    </row>
    <row r="383" spans="8:8" x14ac:dyDescent="0.25">
      <c r="H383" s="34"/>
    </row>
    <row r="384" spans="8:8" x14ac:dyDescent="0.25">
      <c r="H384" s="34"/>
    </row>
    <row r="385" spans="8:8" x14ac:dyDescent="0.25">
      <c r="H385" s="34"/>
    </row>
    <row r="386" spans="8:8" x14ac:dyDescent="0.25">
      <c r="H386" s="34"/>
    </row>
    <row r="387" spans="8:8" x14ac:dyDescent="0.25">
      <c r="H387" s="34"/>
    </row>
    <row r="388" spans="8:8" x14ac:dyDescent="0.25">
      <c r="H388" s="34"/>
    </row>
    <row r="389" spans="8:8" x14ac:dyDescent="0.25">
      <c r="H389" s="34"/>
    </row>
    <row r="390" spans="8:8" x14ac:dyDescent="0.25">
      <c r="H390" s="34"/>
    </row>
    <row r="391" spans="8:8" x14ac:dyDescent="0.25">
      <c r="H391" s="34"/>
    </row>
    <row r="392" spans="8:8" x14ac:dyDescent="0.25">
      <c r="H392" s="34"/>
    </row>
    <row r="393" spans="8:8" x14ac:dyDescent="0.25">
      <c r="H393" s="34"/>
    </row>
    <row r="394" spans="8:8" x14ac:dyDescent="0.25">
      <c r="H394" s="34"/>
    </row>
    <row r="395" spans="8:8" x14ac:dyDescent="0.25">
      <c r="H395" s="34"/>
    </row>
    <row r="396" spans="8:8" x14ac:dyDescent="0.25">
      <c r="H396" s="34"/>
    </row>
    <row r="397" spans="8:8" x14ac:dyDescent="0.25">
      <c r="H397" s="34"/>
    </row>
    <row r="398" spans="8:8" x14ac:dyDescent="0.25">
      <c r="H398" s="34"/>
    </row>
    <row r="399" spans="8:8" x14ac:dyDescent="0.25">
      <c r="H399" s="34"/>
    </row>
    <row r="400" spans="8:8" x14ac:dyDescent="0.25">
      <c r="H400" s="34"/>
    </row>
    <row r="401" spans="8:8" x14ac:dyDescent="0.25">
      <c r="H401" s="34"/>
    </row>
    <row r="402" spans="8:8" x14ac:dyDescent="0.25">
      <c r="H402" s="34"/>
    </row>
    <row r="403" spans="8:8" x14ac:dyDescent="0.25">
      <c r="H403" s="34"/>
    </row>
    <row r="404" spans="8:8" x14ac:dyDescent="0.25">
      <c r="H404" s="34"/>
    </row>
    <row r="405" spans="8:8" x14ac:dyDescent="0.25">
      <c r="H405" s="34"/>
    </row>
    <row r="406" spans="8:8" x14ac:dyDescent="0.25">
      <c r="H406" s="34"/>
    </row>
    <row r="407" spans="8:8" x14ac:dyDescent="0.25">
      <c r="H407" s="34"/>
    </row>
    <row r="408" spans="8:8" x14ac:dyDescent="0.25">
      <c r="H408" s="34"/>
    </row>
    <row r="409" spans="8:8" x14ac:dyDescent="0.25">
      <c r="H409" s="34"/>
    </row>
    <row r="410" spans="8:8" x14ac:dyDescent="0.25">
      <c r="H410" s="34"/>
    </row>
    <row r="411" spans="8:8" x14ac:dyDescent="0.25">
      <c r="H411" s="34"/>
    </row>
    <row r="412" spans="8:8" x14ac:dyDescent="0.25">
      <c r="H412" s="34"/>
    </row>
    <row r="413" spans="8:8" x14ac:dyDescent="0.25">
      <c r="H413" s="34"/>
    </row>
    <row r="414" spans="8:8" x14ac:dyDescent="0.25">
      <c r="H414" s="34"/>
    </row>
    <row r="415" spans="8:8" x14ac:dyDescent="0.25">
      <c r="H415" s="34"/>
    </row>
    <row r="416" spans="8:8" x14ac:dyDescent="0.25">
      <c r="H416" s="34"/>
    </row>
    <row r="417" spans="8:8" x14ac:dyDescent="0.25">
      <c r="H417" s="34"/>
    </row>
    <row r="418" spans="8:8" x14ac:dyDescent="0.25">
      <c r="H418" s="34"/>
    </row>
    <row r="419" spans="8:8" x14ac:dyDescent="0.25">
      <c r="H419" s="34"/>
    </row>
    <row r="420" spans="8:8" x14ac:dyDescent="0.25">
      <c r="H420" s="34"/>
    </row>
    <row r="421" spans="8:8" x14ac:dyDescent="0.25">
      <c r="H421" s="34"/>
    </row>
    <row r="422" spans="8:8" x14ac:dyDescent="0.25">
      <c r="H422" s="34"/>
    </row>
    <row r="423" spans="8:8" x14ac:dyDescent="0.25">
      <c r="H423" s="34"/>
    </row>
    <row r="424" spans="8:8" x14ac:dyDescent="0.25">
      <c r="H424" s="34"/>
    </row>
    <row r="425" spans="8:8" x14ac:dyDescent="0.25">
      <c r="H425" s="34"/>
    </row>
    <row r="426" spans="8:8" x14ac:dyDescent="0.25">
      <c r="H426" s="34"/>
    </row>
    <row r="427" spans="8:8" x14ac:dyDescent="0.25">
      <c r="H427" s="34"/>
    </row>
    <row r="428" spans="8:8" x14ac:dyDescent="0.25">
      <c r="H428" s="34"/>
    </row>
    <row r="429" spans="8:8" x14ac:dyDescent="0.25">
      <c r="H429" s="34"/>
    </row>
    <row r="430" spans="8:8" x14ac:dyDescent="0.25">
      <c r="H430" s="34"/>
    </row>
    <row r="431" spans="8:8" x14ac:dyDescent="0.25">
      <c r="H431" s="34"/>
    </row>
    <row r="432" spans="8:8" x14ac:dyDescent="0.25">
      <c r="H432" s="34"/>
    </row>
    <row r="433" spans="8:8" x14ac:dyDescent="0.25">
      <c r="H433" s="34"/>
    </row>
    <row r="434" spans="8:8" x14ac:dyDescent="0.25">
      <c r="H434" s="34"/>
    </row>
    <row r="435" spans="8:8" x14ac:dyDescent="0.25">
      <c r="H435" s="34"/>
    </row>
    <row r="436" spans="8:8" x14ac:dyDescent="0.25">
      <c r="H436" s="34"/>
    </row>
    <row r="437" spans="8:8" x14ac:dyDescent="0.25">
      <c r="H437" s="34"/>
    </row>
    <row r="438" spans="8:8" x14ac:dyDescent="0.25">
      <c r="H438" s="34"/>
    </row>
    <row r="439" spans="8:8" x14ac:dyDescent="0.25">
      <c r="H439" s="34"/>
    </row>
    <row r="440" spans="8:8" x14ac:dyDescent="0.25">
      <c r="H440" s="34"/>
    </row>
    <row r="441" spans="8:8" x14ac:dyDescent="0.25">
      <c r="H441" s="34"/>
    </row>
    <row r="442" spans="8:8" x14ac:dyDescent="0.25">
      <c r="H442" s="34"/>
    </row>
    <row r="443" spans="8:8" x14ac:dyDescent="0.25">
      <c r="H443" s="34"/>
    </row>
    <row r="444" spans="8:8" x14ac:dyDescent="0.25">
      <c r="H444" s="34"/>
    </row>
    <row r="445" spans="8:8" x14ac:dyDescent="0.25">
      <c r="H445" s="34"/>
    </row>
    <row r="446" spans="8:8" x14ac:dyDescent="0.25">
      <c r="H446" s="34"/>
    </row>
    <row r="447" spans="8:8" x14ac:dyDescent="0.25">
      <c r="H447" s="34"/>
    </row>
    <row r="448" spans="8:8" x14ac:dyDescent="0.25">
      <c r="H448" s="34"/>
    </row>
    <row r="449" spans="8:8" x14ac:dyDescent="0.25">
      <c r="H449" s="34"/>
    </row>
    <row r="450" spans="8:8" x14ac:dyDescent="0.25">
      <c r="H450" s="34"/>
    </row>
    <row r="451" spans="8:8" x14ac:dyDescent="0.25">
      <c r="H451" s="34"/>
    </row>
    <row r="452" spans="8:8" x14ac:dyDescent="0.25">
      <c r="H452" s="34"/>
    </row>
    <row r="453" spans="8:8" x14ac:dyDescent="0.25">
      <c r="H453" s="34"/>
    </row>
    <row r="454" spans="8:8" x14ac:dyDescent="0.25">
      <c r="H454" s="34"/>
    </row>
    <row r="455" spans="8:8" x14ac:dyDescent="0.25">
      <c r="H455" s="34"/>
    </row>
    <row r="456" spans="8:8" x14ac:dyDescent="0.25">
      <c r="H456" s="34"/>
    </row>
    <row r="457" spans="8:8" x14ac:dyDescent="0.25">
      <c r="H457" s="34"/>
    </row>
    <row r="458" spans="8:8" x14ac:dyDescent="0.25">
      <c r="H458" s="34"/>
    </row>
    <row r="459" spans="8:8" x14ac:dyDescent="0.25">
      <c r="H459" s="34"/>
    </row>
    <row r="460" spans="8:8" x14ac:dyDescent="0.25">
      <c r="H460" s="34"/>
    </row>
    <row r="461" spans="8:8" x14ac:dyDescent="0.25">
      <c r="H461" s="34"/>
    </row>
    <row r="462" spans="8:8" x14ac:dyDescent="0.25">
      <c r="H462" s="34"/>
    </row>
    <row r="463" spans="8:8" x14ac:dyDescent="0.25">
      <c r="H463" s="34"/>
    </row>
    <row r="464" spans="8:8" x14ac:dyDescent="0.25">
      <c r="H464" s="34"/>
    </row>
    <row r="465" spans="8:8" x14ac:dyDescent="0.25">
      <c r="H465" s="34"/>
    </row>
    <row r="466" spans="8:8" x14ac:dyDescent="0.25">
      <c r="H466" s="34"/>
    </row>
    <row r="467" spans="8:8" x14ac:dyDescent="0.25">
      <c r="H467" s="34"/>
    </row>
    <row r="468" spans="8:8" x14ac:dyDescent="0.25">
      <c r="H468" s="34"/>
    </row>
    <row r="469" spans="8:8" x14ac:dyDescent="0.25">
      <c r="H469" s="34"/>
    </row>
    <row r="470" spans="8:8" x14ac:dyDescent="0.25">
      <c r="H470" s="34"/>
    </row>
    <row r="471" spans="8:8" x14ac:dyDescent="0.25">
      <c r="H471" s="34"/>
    </row>
    <row r="472" spans="8:8" x14ac:dyDescent="0.25">
      <c r="H472" s="34"/>
    </row>
    <row r="473" spans="8:8" x14ac:dyDescent="0.25">
      <c r="H473" s="34"/>
    </row>
    <row r="474" spans="8:8" x14ac:dyDescent="0.25">
      <c r="H474" s="34"/>
    </row>
    <row r="475" spans="8:8" x14ac:dyDescent="0.25">
      <c r="H475" s="34"/>
    </row>
    <row r="476" spans="8:8" x14ac:dyDescent="0.25">
      <c r="H476" s="34"/>
    </row>
    <row r="477" spans="8:8" x14ac:dyDescent="0.25">
      <c r="H477" s="34"/>
    </row>
    <row r="478" spans="8:8" x14ac:dyDescent="0.25">
      <c r="H478" s="34"/>
    </row>
    <row r="479" spans="8:8" x14ac:dyDescent="0.25">
      <c r="H479" s="34"/>
    </row>
    <row r="480" spans="8:8" x14ac:dyDescent="0.25">
      <c r="H480" s="34"/>
    </row>
    <row r="481" spans="8:8" x14ac:dyDescent="0.25">
      <c r="H481" s="34"/>
    </row>
  </sheetData>
  <mergeCells count="4">
    <mergeCell ref="N4:O4"/>
    <mergeCell ref="A1:B1"/>
    <mergeCell ref="C1:F1"/>
    <mergeCell ref="G1:J1"/>
  </mergeCells>
  <conditionalFormatting sqref="H5 H30:H168 H171:H174 H176:H184 H186:H188 H190:H481">
    <cfRule type="cellIs" dxfId="57" priority="37" operator="greaterThanOrEqual">
      <formula>0</formula>
    </cfRule>
    <cfRule type="cellIs" dxfId="56" priority="40" operator="lessThan">
      <formula>0</formula>
    </cfRule>
    <cfRule type="cellIs" dxfId="55" priority="41" operator="greaterThan">
      <formula>0</formula>
    </cfRule>
  </conditionalFormatting>
  <conditionalFormatting sqref="H6:H15">
    <cfRule type="cellIs" dxfId="54" priority="34" operator="greaterThanOrEqual">
      <formula>0</formula>
    </cfRule>
    <cfRule type="cellIs" dxfId="53" priority="35" operator="lessThan">
      <formula>0</formula>
    </cfRule>
    <cfRule type="cellIs" dxfId="52" priority="36" operator="greaterThan">
      <formula>0</formula>
    </cfRule>
  </conditionalFormatting>
  <conditionalFormatting sqref="H17:H18">
    <cfRule type="cellIs" dxfId="51" priority="31" operator="greaterThanOrEqual">
      <formula>0</formula>
    </cfRule>
    <cfRule type="cellIs" dxfId="50" priority="32" operator="lessThan">
      <formula>0</formula>
    </cfRule>
    <cfRule type="cellIs" dxfId="49" priority="33" operator="greaterThan">
      <formula>0</formula>
    </cfRule>
  </conditionalFormatting>
  <conditionalFormatting sqref="H16">
    <cfRule type="cellIs" dxfId="48" priority="28" operator="greaterThanOrEqual">
      <formula>0</formula>
    </cfRule>
    <cfRule type="cellIs" dxfId="47" priority="29" operator="lessThan">
      <formula>0</formula>
    </cfRule>
    <cfRule type="cellIs" dxfId="46" priority="30" operator="greaterThan">
      <formula>0</formula>
    </cfRule>
  </conditionalFormatting>
  <conditionalFormatting sqref="H19:H20">
    <cfRule type="cellIs" dxfId="45" priority="22" operator="greaterThanOrEqual">
      <formula>0</formula>
    </cfRule>
    <cfRule type="cellIs" dxfId="44" priority="23" operator="lessThan">
      <formula>0</formula>
    </cfRule>
    <cfRule type="cellIs" dxfId="43" priority="24" operator="greaterThan">
      <formula>0</formula>
    </cfRule>
  </conditionalFormatting>
  <conditionalFormatting sqref="H21:H23">
    <cfRule type="cellIs" dxfId="42" priority="19" operator="greaterThanOrEqual">
      <formula>0</formula>
    </cfRule>
    <cfRule type="cellIs" dxfId="41" priority="20" operator="lessThan">
      <formula>0</formula>
    </cfRule>
    <cfRule type="cellIs" dxfId="40" priority="21" operator="greaterThan">
      <formula>0</formula>
    </cfRule>
  </conditionalFormatting>
  <conditionalFormatting sqref="H24:H29">
    <cfRule type="cellIs" dxfId="39" priority="16" operator="greaterThanOrEqual">
      <formula>0</formula>
    </cfRule>
    <cfRule type="cellIs" dxfId="38" priority="17" operator="lessThan">
      <formula>0</formula>
    </cfRule>
    <cfRule type="cellIs" dxfId="37" priority="18" operator="greaterThan">
      <formula>0</formula>
    </cfRule>
  </conditionalFormatting>
  <conditionalFormatting sqref="H169">
    <cfRule type="cellIs" dxfId="36" priority="10" operator="greaterThanOrEqual">
      <formula>0</formula>
    </cfRule>
    <cfRule type="cellIs" dxfId="35" priority="11" operator="lessThan">
      <formula>0</formula>
    </cfRule>
    <cfRule type="cellIs" dxfId="34" priority="12" operator="greaterThan">
      <formula>0</formula>
    </cfRule>
  </conditionalFormatting>
  <conditionalFormatting sqref="H170">
    <cfRule type="cellIs" dxfId="33" priority="7" operator="greaterThanOrEqual">
      <formula>0</formula>
    </cfRule>
    <cfRule type="cellIs" dxfId="32" priority="8" operator="lessThan">
      <formula>0</formula>
    </cfRule>
    <cfRule type="cellIs" dxfId="31" priority="9" operator="greaterThan">
      <formula>0</formula>
    </cfRule>
  </conditionalFormatting>
  <conditionalFormatting sqref="H175">
    <cfRule type="cellIs" dxfId="30" priority="4" operator="greaterThanOrEqual">
      <formula>0</formula>
    </cfRule>
    <cfRule type="cellIs" dxfId="29" priority="5" operator="lessThan">
      <formula>0</formula>
    </cfRule>
    <cfRule type="cellIs" dxfId="28" priority="6" operator="greaterThan">
      <formula>0</formula>
    </cfRule>
  </conditionalFormatting>
  <conditionalFormatting sqref="H185">
    <cfRule type="cellIs" dxfId="27" priority="1" operator="greaterThanOrEqual">
      <formula>0</formula>
    </cfRule>
    <cfRule type="cellIs" dxfId="26" priority="2" operator="lessThan">
      <formula>0</formula>
    </cfRule>
    <cfRule type="cellIs" dxfId="25" priority="3" operator="greaterThan">
      <formula>0</formula>
    </cfRule>
  </conditionalFormatting>
  <pageMargins left="0.7" right="0.7" top="0.75" bottom="0.75" header="0.3" footer="0.3"/>
  <pageSetup paperSize="9" orientation="portrait" horizontalDpi="120" verticalDpi="72"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ER_TOTALES">
                <anchor>
                  <from>
                    <xdr:col>10</xdr:col>
                    <xdr:colOff>123825</xdr:colOff>
                    <xdr:row>0</xdr:row>
                    <xdr:rowOff>466725</xdr:rowOff>
                  </from>
                  <to>
                    <xdr:col>10</xdr:col>
                    <xdr:colOff>723900</xdr:colOff>
                    <xdr:row>0</xdr:row>
                    <xdr:rowOff>838200</xdr:rowOff>
                  </to>
                </anchor>
              </controlPr>
            </control>
          </mc:Choice>
        </mc:AlternateContent>
        <mc:AlternateContent xmlns:mc="http://schemas.openxmlformats.org/markup-compatibility/2006">
          <mc:Choice Requires="x14">
            <control shapeId="4099" r:id="rId5" name="Button 3">
              <controlPr defaultSize="0" print="0" autoFill="0" autoPict="0" macro="[0]!QUITAR_TOTALES">
                <anchor>
                  <from>
                    <xdr:col>11</xdr:col>
                    <xdr:colOff>114300</xdr:colOff>
                    <xdr:row>0</xdr:row>
                    <xdr:rowOff>457200</xdr:rowOff>
                  </from>
                  <to>
                    <xdr:col>11</xdr:col>
                    <xdr:colOff>714375</xdr:colOff>
                    <xdr:row>0</xdr:row>
                    <xdr:rowOff>828675</xdr:rowOff>
                  </to>
                </anchor>
              </controlPr>
            </control>
          </mc:Choice>
        </mc:AlternateContent>
        <mc:AlternateContent xmlns:mc="http://schemas.openxmlformats.org/markup-compatibility/2006">
          <mc:Choice Requires="x14">
            <control shapeId="4100" r:id="rId6" name="Button 4">
              <controlPr defaultSize="0" print="0" autoFill="0" autoPict="0" macro="[0]!FILTRODEFECHA">
                <anchor>
                  <from>
                    <xdr:col>2</xdr:col>
                    <xdr:colOff>133350</xdr:colOff>
                    <xdr:row>1</xdr:row>
                    <xdr:rowOff>47625</xdr:rowOff>
                  </from>
                  <to>
                    <xdr:col>3</xdr:col>
                    <xdr:colOff>495300</xdr:colOff>
                    <xdr:row>2</xdr:row>
                    <xdr:rowOff>152400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5"/>
  <dimension ref="A1:I37"/>
  <sheetViews>
    <sheetView showGridLines="0" zoomScale="70" zoomScaleNormal="70" workbookViewId="0">
      <selection activeCell="K6" sqref="K6"/>
    </sheetView>
  </sheetViews>
  <sheetFormatPr baseColWidth="10" defaultRowHeight="15" x14ac:dyDescent="0.25"/>
  <cols>
    <col min="1" max="1" width="24.140625" bestFit="1" customWidth="1"/>
  </cols>
  <sheetData>
    <row r="1" spans="1:9" ht="16.5" thickBot="1" x14ac:dyDescent="0.3">
      <c r="A1" s="11" t="s">
        <v>17</v>
      </c>
      <c r="B1" s="12"/>
      <c r="C1" s="12"/>
      <c r="D1" s="12"/>
      <c r="E1" s="12"/>
      <c r="F1" s="12"/>
      <c r="G1" s="12"/>
      <c r="H1" s="12"/>
      <c r="I1" s="12"/>
    </row>
    <row r="2" spans="1:9" ht="15.75" x14ac:dyDescent="0.25">
      <c r="A2" s="13" t="s">
        <v>14</v>
      </c>
      <c r="B2" s="12"/>
      <c r="C2" s="12"/>
      <c r="D2" s="12"/>
      <c r="E2" s="12"/>
      <c r="F2" s="12"/>
      <c r="G2" s="12"/>
      <c r="H2" s="12"/>
      <c r="I2" s="12"/>
    </row>
    <row r="3" spans="1:9" ht="15.75" x14ac:dyDescent="0.25">
      <c r="A3" s="14" t="s">
        <v>12</v>
      </c>
      <c r="B3" s="12"/>
      <c r="C3" s="12"/>
      <c r="D3" s="12"/>
      <c r="E3" s="12"/>
      <c r="F3" s="12"/>
      <c r="G3" s="12"/>
      <c r="H3" s="12"/>
      <c r="I3" s="12"/>
    </row>
    <row r="4" spans="1:9" ht="15.75" x14ac:dyDescent="0.25">
      <c r="A4" s="14" t="s">
        <v>15</v>
      </c>
      <c r="B4" s="12"/>
      <c r="C4" s="12"/>
      <c r="D4" s="12"/>
      <c r="E4" s="12"/>
      <c r="F4" s="12"/>
      <c r="G4" s="12"/>
      <c r="H4" s="12"/>
      <c r="I4" s="12"/>
    </row>
    <row r="5" spans="1:9" ht="15.75" x14ac:dyDescent="0.25">
      <c r="A5" s="14" t="s">
        <v>13</v>
      </c>
      <c r="B5" s="12"/>
      <c r="C5" s="12"/>
      <c r="D5" s="12"/>
      <c r="E5" s="12"/>
      <c r="F5" s="12"/>
      <c r="G5" s="12"/>
      <c r="H5" s="12"/>
      <c r="I5" s="12"/>
    </row>
    <row r="6" spans="1:9" ht="16.5" thickBot="1" x14ac:dyDescent="0.3">
      <c r="A6" s="15" t="s">
        <v>42</v>
      </c>
      <c r="B6" s="12"/>
      <c r="C6" s="12"/>
      <c r="D6" s="12"/>
      <c r="E6" s="12"/>
      <c r="F6" s="12"/>
      <c r="G6" s="12"/>
      <c r="H6" s="12"/>
      <c r="I6" s="12"/>
    </row>
    <row r="7" spans="1:9" ht="15.75" x14ac:dyDescent="0.25">
      <c r="A7" s="12"/>
      <c r="B7" s="12"/>
      <c r="C7" s="12"/>
      <c r="D7" s="12"/>
      <c r="E7" s="12"/>
      <c r="F7" s="12"/>
      <c r="G7" s="12"/>
      <c r="H7" s="12"/>
      <c r="I7" s="12"/>
    </row>
    <row r="8" spans="1:9" ht="21" thickBot="1" x14ac:dyDescent="0.35">
      <c r="A8" s="56" t="s">
        <v>18</v>
      </c>
      <c r="B8" s="56"/>
      <c r="C8" s="56"/>
      <c r="D8" s="56"/>
      <c r="E8" s="56"/>
      <c r="F8" s="56"/>
      <c r="G8" s="56"/>
      <c r="H8" s="56"/>
      <c r="I8" s="56"/>
    </row>
    <row r="9" spans="1:9" ht="15" customHeight="1" x14ac:dyDescent="0.25">
      <c r="A9" s="47" t="s">
        <v>50</v>
      </c>
      <c r="B9" s="48"/>
      <c r="C9" s="48"/>
      <c r="D9" s="48"/>
      <c r="E9" s="48"/>
      <c r="F9" s="48"/>
      <c r="G9" s="48"/>
      <c r="H9" s="48"/>
      <c r="I9" s="49"/>
    </row>
    <row r="10" spans="1:9" ht="15" customHeight="1" x14ac:dyDescent="0.25">
      <c r="A10" s="50"/>
      <c r="B10" s="51"/>
      <c r="C10" s="51"/>
      <c r="D10" s="51"/>
      <c r="E10" s="51"/>
      <c r="F10" s="51"/>
      <c r="G10" s="51"/>
      <c r="H10" s="51"/>
      <c r="I10" s="52"/>
    </row>
    <row r="11" spans="1:9" ht="15" customHeight="1" x14ac:dyDescent="0.25">
      <c r="A11" s="50"/>
      <c r="B11" s="51"/>
      <c r="C11" s="51"/>
      <c r="D11" s="51"/>
      <c r="E11" s="51"/>
      <c r="F11" s="51"/>
      <c r="G11" s="51"/>
      <c r="H11" s="51"/>
      <c r="I11" s="52"/>
    </row>
    <row r="12" spans="1:9" ht="15" customHeight="1" x14ac:dyDescent="0.25">
      <c r="A12" s="50"/>
      <c r="B12" s="51"/>
      <c r="C12" s="51"/>
      <c r="D12" s="51"/>
      <c r="E12" s="51"/>
      <c r="F12" s="51"/>
      <c r="G12" s="51"/>
      <c r="H12" s="51"/>
      <c r="I12" s="52"/>
    </row>
    <row r="13" spans="1:9" ht="15.75" customHeight="1" x14ac:dyDescent="0.25">
      <c r="A13" s="50"/>
      <c r="B13" s="51"/>
      <c r="C13" s="51"/>
      <c r="D13" s="51"/>
      <c r="E13" s="51"/>
      <c r="F13" s="51"/>
      <c r="G13" s="51"/>
      <c r="H13" s="51"/>
      <c r="I13" s="52"/>
    </row>
    <row r="14" spans="1:9" x14ac:dyDescent="0.25">
      <c r="A14" s="50"/>
      <c r="B14" s="51"/>
      <c r="C14" s="51"/>
      <c r="D14" s="51"/>
      <c r="E14" s="51"/>
      <c r="F14" s="51"/>
      <c r="G14" s="51"/>
      <c r="H14" s="51"/>
      <c r="I14" s="52"/>
    </row>
    <row r="15" spans="1:9" x14ac:dyDescent="0.25">
      <c r="A15" s="50"/>
      <c r="B15" s="51"/>
      <c r="C15" s="51"/>
      <c r="D15" s="51"/>
      <c r="E15" s="51"/>
      <c r="F15" s="51"/>
      <c r="G15" s="51"/>
      <c r="H15" s="51"/>
      <c r="I15" s="52"/>
    </row>
    <row r="16" spans="1:9" ht="15.75" thickBot="1" x14ac:dyDescent="0.3">
      <c r="A16" s="53"/>
      <c r="B16" s="54"/>
      <c r="C16" s="54"/>
      <c r="D16" s="54"/>
      <c r="E16" s="54"/>
      <c r="F16" s="54"/>
      <c r="G16" s="54"/>
      <c r="H16" s="54"/>
      <c r="I16" s="55"/>
    </row>
    <row r="17" spans="1:9" ht="21" thickBot="1" x14ac:dyDescent="0.35">
      <c r="A17" s="56" t="s">
        <v>49</v>
      </c>
      <c r="B17" s="56"/>
      <c r="C17" s="56"/>
      <c r="D17" s="56"/>
      <c r="E17" s="56"/>
      <c r="F17" s="56"/>
      <c r="G17" s="56"/>
      <c r="H17" s="56"/>
      <c r="I17" s="56"/>
    </row>
    <row r="18" spans="1:9" x14ac:dyDescent="0.25">
      <c r="A18" s="47" t="s">
        <v>51</v>
      </c>
      <c r="B18" s="48"/>
      <c r="C18" s="48"/>
      <c r="D18" s="48"/>
      <c r="E18" s="48"/>
      <c r="F18" s="48"/>
      <c r="G18" s="48"/>
      <c r="H18" s="48"/>
      <c r="I18" s="49"/>
    </row>
    <row r="19" spans="1:9" x14ac:dyDescent="0.25">
      <c r="A19" s="50"/>
      <c r="B19" s="51"/>
      <c r="C19" s="51"/>
      <c r="D19" s="51"/>
      <c r="E19" s="51"/>
      <c r="F19" s="51"/>
      <c r="G19" s="51"/>
      <c r="H19" s="51"/>
      <c r="I19" s="52"/>
    </row>
    <row r="20" spans="1:9" x14ac:dyDescent="0.25">
      <c r="A20" s="50"/>
      <c r="B20" s="51"/>
      <c r="C20" s="51"/>
      <c r="D20" s="51"/>
      <c r="E20" s="51"/>
      <c r="F20" s="51"/>
      <c r="G20" s="51"/>
      <c r="H20" s="51"/>
      <c r="I20" s="52"/>
    </row>
    <row r="21" spans="1:9" x14ac:dyDescent="0.25">
      <c r="A21" s="50"/>
      <c r="B21" s="51"/>
      <c r="C21" s="51"/>
      <c r="D21" s="51"/>
      <c r="E21" s="51"/>
      <c r="F21" s="51"/>
      <c r="G21" s="51"/>
      <c r="H21" s="51"/>
      <c r="I21" s="52"/>
    </row>
    <row r="22" spans="1:9" x14ac:dyDescent="0.25">
      <c r="A22" s="50"/>
      <c r="B22" s="51"/>
      <c r="C22" s="51"/>
      <c r="D22" s="51"/>
      <c r="E22" s="51"/>
      <c r="F22" s="51"/>
      <c r="G22" s="51"/>
      <c r="H22" s="51"/>
      <c r="I22" s="52"/>
    </row>
    <row r="23" spans="1:9" x14ac:dyDescent="0.25">
      <c r="A23" s="50"/>
      <c r="B23" s="51"/>
      <c r="C23" s="51"/>
      <c r="D23" s="51"/>
      <c r="E23" s="51"/>
      <c r="F23" s="51"/>
      <c r="G23" s="51"/>
      <c r="H23" s="51"/>
      <c r="I23" s="52"/>
    </row>
    <row r="24" spans="1:9" x14ac:dyDescent="0.25">
      <c r="A24" s="50"/>
      <c r="B24" s="51"/>
      <c r="C24" s="51"/>
      <c r="D24" s="51"/>
      <c r="E24" s="51"/>
      <c r="F24" s="51"/>
      <c r="G24" s="51"/>
      <c r="H24" s="51"/>
      <c r="I24" s="52"/>
    </row>
    <row r="25" spans="1:9" ht="15.75" thickBot="1" x14ac:dyDescent="0.3">
      <c r="A25" s="53"/>
      <c r="B25" s="54"/>
      <c r="C25" s="54"/>
      <c r="D25" s="54"/>
      <c r="E25" s="54"/>
      <c r="F25" s="54"/>
      <c r="G25" s="54"/>
      <c r="H25" s="54"/>
      <c r="I25" s="55"/>
    </row>
    <row r="26" spans="1:9" ht="21" thickBot="1" x14ac:dyDescent="0.35">
      <c r="A26" s="56" t="s">
        <v>19</v>
      </c>
      <c r="B26" s="56"/>
      <c r="C26" s="56"/>
      <c r="D26" s="56"/>
      <c r="E26" s="56"/>
      <c r="F26" s="56"/>
      <c r="G26" s="56"/>
      <c r="H26" s="56"/>
      <c r="I26" s="56"/>
    </row>
    <row r="27" spans="1:9" ht="15" customHeight="1" x14ac:dyDescent="0.25">
      <c r="A27" s="47" t="s">
        <v>20</v>
      </c>
      <c r="B27" s="48"/>
      <c r="C27" s="48"/>
      <c r="D27" s="48"/>
      <c r="E27" s="48"/>
      <c r="F27" s="48"/>
      <c r="G27" s="48"/>
      <c r="H27" s="48"/>
      <c r="I27" s="49"/>
    </row>
    <row r="28" spans="1:9" ht="15" customHeight="1" x14ac:dyDescent="0.25">
      <c r="A28" s="50"/>
      <c r="B28" s="51"/>
      <c r="C28" s="51"/>
      <c r="D28" s="51"/>
      <c r="E28" s="51"/>
      <c r="F28" s="51"/>
      <c r="G28" s="51"/>
      <c r="H28" s="51"/>
      <c r="I28" s="52"/>
    </row>
    <row r="29" spans="1:9" ht="15" customHeight="1" x14ac:dyDescent="0.25">
      <c r="A29" s="50"/>
      <c r="B29" s="51"/>
      <c r="C29" s="51"/>
      <c r="D29" s="51"/>
      <c r="E29" s="51"/>
      <c r="F29" s="51"/>
      <c r="G29" s="51"/>
      <c r="H29" s="51"/>
      <c r="I29" s="52"/>
    </row>
    <row r="30" spans="1:9" ht="15" customHeight="1" x14ac:dyDescent="0.25">
      <c r="A30" s="50"/>
      <c r="B30" s="51"/>
      <c r="C30" s="51"/>
      <c r="D30" s="51"/>
      <c r="E30" s="51"/>
      <c r="F30" s="51"/>
      <c r="G30" s="51"/>
      <c r="H30" s="51"/>
      <c r="I30" s="52"/>
    </row>
    <row r="31" spans="1:9" ht="15" customHeight="1" x14ac:dyDescent="0.25">
      <c r="A31" s="50"/>
      <c r="B31" s="51"/>
      <c r="C31" s="51"/>
      <c r="D31" s="51"/>
      <c r="E31" s="51"/>
      <c r="F31" s="51"/>
      <c r="G31" s="51"/>
      <c r="H31" s="51"/>
      <c r="I31" s="52"/>
    </row>
    <row r="32" spans="1:9" ht="15" customHeight="1" x14ac:dyDescent="0.25">
      <c r="A32" s="50"/>
      <c r="B32" s="51"/>
      <c r="C32" s="51"/>
      <c r="D32" s="51"/>
      <c r="E32" s="51"/>
      <c r="F32" s="51"/>
      <c r="G32" s="51"/>
      <c r="H32" s="51"/>
      <c r="I32" s="52"/>
    </row>
    <row r="33" spans="1:9" ht="15" customHeight="1" x14ac:dyDescent="0.25">
      <c r="A33" s="50"/>
      <c r="B33" s="51"/>
      <c r="C33" s="51"/>
      <c r="D33" s="51"/>
      <c r="E33" s="51"/>
      <c r="F33" s="51"/>
      <c r="G33" s="51"/>
      <c r="H33" s="51"/>
      <c r="I33" s="52"/>
    </row>
    <row r="34" spans="1:9" ht="15.75" customHeight="1" x14ac:dyDescent="0.25">
      <c r="A34" s="50"/>
      <c r="B34" s="51"/>
      <c r="C34" s="51"/>
      <c r="D34" s="51"/>
      <c r="E34" s="51"/>
      <c r="F34" s="51"/>
      <c r="G34" s="51"/>
      <c r="H34" s="51"/>
      <c r="I34" s="52"/>
    </row>
    <row r="35" spans="1:9" x14ac:dyDescent="0.25">
      <c r="A35" s="50"/>
      <c r="B35" s="51"/>
      <c r="C35" s="51"/>
      <c r="D35" s="51"/>
      <c r="E35" s="51"/>
      <c r="F35" s="51"/>
      <c r="G35" s="51"/>
      <c r="H35" s="51"/>
      <c r="I35" s="52"/>
    </row>
    <row r="36" spans="1:9" x14ac:dyDescent="0.25">
      <c r="A36" s="50"/>
      <c r="B36" s="51"/>
      <c r="C36" s="51"/>
      <c r="D36" s="51"/>
      <c r="E36" s="51"/>
      <c r="F36" s="51"/>
      <c r="G36" s="51"/>
      <c r="H36" s="51"/>
      <c r="I36" s="52"/>
    </row>
    <row r="37" spans="1:9" ht="15.75" thickBot="1" x14ac:dyDescent="0.3">
      <c r="A37" s="53"/>
      <c r="B37" s="54"/>
      <c r="C37" s="54"/>
      <c r="D37" s="54"/>
      <c r="E37" s="54"/>
      <c r="F37" s="54"/>
      <c r="G37" s="54"/>
      <c r="H37" s="54"/>
      <c r="I37" s="55"/>
    </row>
  </sheetData>
  <mergeCells count="6">
    <mergeCell ref="A27:I37"/>
    <mergeCell ref="A8:I8"/>
    <mergeCell ref="A9:I16"/>
    <mergeCell ref="A17:I17"/>
    <mergeCell ref="A18:I25"/>
    <mergeCell ref="A26:I2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pageSetUpPr fitToPage="1"/>
  </sheetPr>
  <dimension ref="A1:S11"/>
  <sheetViews>
    <sheetView showGridLines="0" workbookViewId="0">
      <selection sqref="A1:R4"/>
    </sheetView>
  </sheetViews>
  <sheetFormatPr baseColWidth="10" defaultRowHeight="15" x14ac:dyDescent="0.25"/>
  <cols>
    <col min="1" max="1" width="4" customWidth="1"/>
    <col min="2" max="2" width="3.7109375" customWidth="1"/>
    <col min="3" max="3" width="3.28515625" customWidth="1"/>
    <col min="4" max="5" width="5.5703125" customWidth="1"/>
    <col min="6" max="6" width="5.140625" customWidth="1"/>
    <col min="7" max="7" width="5.85546875" customWidth="1"/>
    <col min="8" max="9" width="3.42578125" customWidth="1"/>
    <col min="10" max="10" width="2.7109375" customWidth="1"/>
    <col min="11" max="11" width="4" customWidth="1"/>
    <col min="12" max="12" width="3.7109375" customWidth="1"/>
    <col min="13" max="13" width="3.28515625" customWidth="1"/>
    <col min="14" max="14" width="5.5703125" customWidth="1"/>
    <col min="15" max="16" width="5.140625" customWidth="1"/>
    <col min="17" max="17" width="5.85546875" customWidth="1"/>
    <col min="18" max="18" width="3.42578125" customWidth="1"/>
  </cols>
  <sheetData>
    <row r="1" spans="1:19" ht="69" customHeight="1" x14ac:dyDescent="0.25">
      <c r="A1" s="57" t="s">
        <v>37</v>
      </c>
      <c r="B1" s="58" t="s">
        <v>38</v>
      </c>
      <c r="C1" s="26">
        <f ca="1">TODAY()</f>
        <v>44334</v>
      </c>
      <c r="D1" s="28">
        <v>34.9</v>
      </c>
      <c r="E1" s="29"/>
      <c r="F1" s="28">
        <f>E1*D1</f>
        <v>0</v>
      </c>
      <c r="G1" s="24"/>
      <c r="H1" s="59" t="s">
        <v>39</v>
      </c>
      <c r="I1" s="31"/>
      <c r="J1" s="17"/>
      <c r="K1" s="57" t="s">
        <v>37</v>
      </c>
      <c r="L1" s="58" t="s">
        <v>38</v>
      </c>
      <c r="M1" s="26">
        <f ca="1">TODAY()</f>
        <v>44334</v>
      </c>
      <c r="N1" s="28">
        <f>D1</f>
        <v>34.9</v>
      </c>
      <c r="O1" s="29">
        <f>E1</f>
        <v>0</v>
      </c>
      <c r="P1" s="28">
        <f>O1*N1</f>
        <v>0</v>
      </c>
      <c r="Q1" s="24"/>
      <c r="R1" s="59" t="s">
        <v>39</v>
      </c>
      <c r="S1" s="17"/>
    </row>
    <row r="2" spans="1:19" ht="78.75" customHeight="1" x14ac:dyDescent="0.25">
      <c r="A2" s="57"/>
      <c r="B2" s="58"/>
      <c r="C2" s="25" t="s">
        <v>47</v>
      </c>
      <c r="D2" s="27" t="s">
        <v>48</v>
      </c>
      <c r="E2" s="27" t="s">
        <v>41</v>
      </c>
      <c r="F2" s="27" t="s">
        <v>40</v>
      </c>
      <c r="G2" s="24"/>
      <c r="H2" s="59"/>
      <c r="I2" s="31"/>
      <c r="J2" s="17"/>
      <c r="K2" s="57"/>
      <c r="L2" s="58"/>
      <c r="M2" s="25" t="s">
        <v>47</v>
      </c>
      <c r="N2" s="27" t="s">
        <v>48</v>
      </c>
      <c r="O2" s="27" t="s">
        <v>41</v>
      </c>
      <c r="P2" s="27" t="s">
        <v>40</v>
      </c>
      <c r="Q2" s="24"/>
      <c r="R2" s="59"/>
      <c r="S2" s="17"/>
    </row>
    <row r="3" spans="1:19" ht="9" customHeight="1" x14ac:dyDescent="0.25">
      <c r="A3" s="30"/>
      <c r="C3" s="17"/>
      <c r="M3" s="17"/>
      <c r="R3" s="30"/>
    </row>
    <row r="4" spans="1:19" x14ac:dyDescent="0.25">
      <c r="C4" s="17"/>
      <c r="M4" s="17"/>
    </row>
    <row r="5" spans="1:19" x14ac:dyDescent="0.25">
      <c r="C5" s="17"/>
      <c r="M5" s="17"/>
    </row>
    <row r="6" spans="1:19" x14ac:dyDescent="0.25">
      <c r="C6" s="17"/>
      <c r="M6" s="17"/>
    </row>
    <row r="7" spans="1:19" x14ac:dyDescent="0.25">
      <c r="C7" s="18"/>
      <c r="M7" s="18"/>
    </row>
    <row r="8" spans="1:19" ht="43.5" customHeight="1" x14ac:dyDescent="0.25">
      <c r="C8" s="17"/>
      <c r="M8" s="17"/>
    </row>
    <row r="9" spans="1:19" x14ac:dyDescent="0.25">
      <c r="C9" s="18"/>
      <c r="M9" s="18"/>
    </row>
    <row r="10" spans="1:19" x14ac:dyDescent="0.25">
      <c r="C10" s="17"/>
      <c r="M10" s="17"/>
    </row>
    <row r="11" spans="1:19" x14ac:dyDescent="0.25">
      <c r="C11" s="18"/>
      <c r="M11" s="18"/>
    </row>
  </sheetData>
  <mergeCells count="6">
    <mergeCell ref="K1:K2"/>
    <mergeCell ref="L1:L2"/>
    <mergeCell ref="R1:R2"/>
    <mergeCell ref="A1:A2"/>
    <mergeCell ref="B1:B2"/>
    <mergeCell ref="H1:H2"/>
  </mergeCells>
  <pageMargins left="0.7" right="0.7" top="0.75" bottom="0.75" header="0.3" footer="0.3"/>
  <pageSetup orientation="portrait" cellComments="atEnd"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D5"/>
  <sheetViews>
    <sheetView workbookViewId="0">
      <selection activeCell="C10" sqref="C10"/>
    </sheetView>
  </sheetViews>
  <sheetFormatPr baseColWidth="10" defaultRowHeight="15" x14ac:dyDescent="0.25"/>
  <cols>
    <col min="1" max="1" width="32" bestFit="1" customWidth="1"/>
  </cols>
  <sheetData>
    <row r="1" spans="1:4" x14ac:dyDescent="0.25">
      <c r="A1" t="s">
        <v>21</v>
      </c>
      <c r="B1" t="s">
        <v>22</v>
      </c>
      <c r="C1" t="s">
        <v>23</v>
      </c>
      <c r="D1" t="s">
        <v>35</v>
      </c>
    </row>
    <row r="2" spans="1:4" x14ac:dyDescent="0.25">
      <c r="A2" t="s">
        <v>24</v>
      </c>
      <c r="B2" t="s">
        <v>28</v>
      </c>
      <c r="C2" t="s">
        <v>32</v>
      </c>
      <c r="D2">
        <v>1</v>
      </c>
    </row>
    <row r="3" spans="1:4" x14ac:dyDescent="0.25">
      <c r="A3" t="s">
        <v>25</v>
      </c>
      <c r="B3" t="s">
        <v>31</v>
      </c>
      <c r="C3" t="s">
        <v>33</v>
      </c>
      <c r="D3">
        <v>2</v>
      </c>
    </row>
    <row r="4" spans="1:4" x14ac:dyDescent="0.25">
      <c r="A4" t="s">
        <v>26</v>
      </c>
      <c r="B4" t="s">
        <v>29</v>
      </c>
      <c r="C4" t="s">
        <v>34</v>
      </c>
      <c r="D4">
        <v>3</v>
      </c>
    </row>
    <row r="5" spans="1:4" x14ac:dyDescent="0.25">
      <c r="A5" t="s">
        <v>27</v>
      </c>
      <c r="B5" t="s">
        <v>30</v>
      </c>
      <c r="C5">
        <v>27051998</v>
      </c>
      <c r="D5">
        <v>4</v>
      </c>
    </row>
  </sheetData>
  <sheetProtection algorithmName="SHA-512" hashValue="HFpZFF6+q7HlcLD7eXmBq0uOhXVYWTFnbFwB59FLB3/Tgli8ZtM2P4ZCKJa9eHNJNfkrrz1fJgX1W0QfkGKNtQ==" saltValue="jLHli1Zt69zxk0dBYIHlxg==" spinCount="100000" sheet="1" selectLockedCells="1" selectUn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
  <dimension ref="A1:B6"/>
  <sheetViews>
    <sheetView tabSelected="1" workbookViewId="0">
      <selection activeCell="D7" sqref="D7"/>
    </sheetView>
  </sheetViews>
  <sheetFormatPr baseColWidth="10" defaultRowHeight="15" x14ac:dyDescent="0.25"/>
  <cols>
    <col min="1" max="1" width="19" bestFit="1" customWidth="1"/>
    <col min="2" max="2" width="12.140625" bestFit="1" customWidth="1"/>
  </cols>
  <sheetData>
    <row r="1" spans="1:2" x14ac:dyDescent="0.25">
      <c r="A1" s="2" t="s">
        <v>0</v>
      </c>
      <c r="B1" s="5">
        <v>35.35</v>
      </c>
    </row>
    <row r="2" spans="1:2" x14ac:dyDescent="0.25">
      <c r="A2" s="2" t="s">
        <v>1</v>
      </c>
      <c r="B2" s="5">
        <v>35</v>
      </c>
    </row>
    <row r="3" spans="1:2" x14ac:dyDescent="0.25">
      <c r="A3" s="2" t="s">
        <v>2</v>
      </c>
      <c r="B3" s="3">
        <v>300</v>
      </c>
    </row>
    <row r="4" spans="1:2" x14ac:dyDescent="0.25">
      <c r="A4" s="2" t="s">
        <v>3</v>
      </c>
      <c r="B4" s="3">
        <v>11</v>
      </c>
    </row>
    <row r="5" spans="1:2" x14ac:dyDescent="0.25">
      <c r="A5" s="19" t="s">
        <v>4</v>
      </c>
      <c r="B5" s="20">
        <v>30</v>
      </c>
    </row>
    <row r="6" spans="1:2" x14ac:dyDescent="0.25">
      <c r="A6" s="21" t="s">
        <v>9</v>
      </c>
      <c r="B6" s="22">
        <v>44334</v>
      </c>
    </row>
  </sheetData>
  <sheetProtection selectLockedCells="1" selectUnlockedCells="1"/>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1</vt:i4>
      </vt:variant>
    </vt:vector>
  </HeadingPairs>
  <TitlesOfParts>
    <vt:vector size="7" baseType="lpstr">
      <vt:lpstr>INICIO</vt:lpstr>
      <vt:lpstr>BASE DE DATOS SOBRANTE</vt:lpstr>
      <vt:lpstr>indicaciones para validación</vt:lpstr>
      <vt:lpstr>CAMBIO</vt:lpstr>
      <vt:lpstr>USUARIOS</vt:lpstr>
      <vt:lpstr>DATA</vt:lpstr>
      <vt:lpstr>sobrantes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PC_ADMON;BY LEVI</dc:creator>
  <cp:lastModifiedBy>PC Servidor 2</cp:lastModifiedBy>
  <cp:lastPrinted>2021-02-26T18:14:03Z</cp:lastPrinted>
  <dcterms:created xsi:type="dcterms:W3CDTF">2020-11-05T14:28:16Z</dcterms:created>
  <dcterms:modified xsi:type="dcterms:W3CDTF">2021-05-18T23:23:38Z</dcterms:modified>
</cp:coreProperties>
</file>