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1563B04E-AB91-75FE-B8BC-B18F01832D5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wilbe\OneDrive\Escritorio\Para Wilber\TDR MEJORAS CONTINUAS SISTEMA\TDR-PARA VALORACIÒN DE COMPRAS Y EMPEÑOS DE ARTÌCULOS\"/>
    </mc:Choice>
  </mc:AlternateContent>
  <xr:revisionPtr revIDLastSave="0" documentId="13_ncr:1_{D2B99BCC-5B69-42D2-A40E-A5B648C57E8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valoraciones" sheetId="1" r:id="rId1"/>
    <sheet name="ajustes de %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3" i="1" l="1"/>
  <c r="I13" i="1"/>
  <c r="D17" i="1"/>
  <c r="D16" i="1"/>
  <c r="D15" i="1"/>
  <c r="C17" i="1"/>
  <c r="C16" i="1"/>
  <c r="C15" i="1"/>
  <c r="G23" i="1" l="1"/>
  <c r="K4" i="1"/>
  <c r="C25" i="1" s="1"/>
  <c r="C26" i="1" l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11" i="1" l="1"/>
  <c r="F9" i="1" l="1"/>
  <c r="J9" i="1" l="1"/>
  <c r="J12" i="1" l="1"/>
  <c r="K9" i="1"/>
  <c r="H9" i="1"/>
  <c r="H12" i="1" s="1"/>
  <c r="D9" i="1"/>
  <c r="D10" i="1"/>
  <c r="D8" i="1"/>
  <c r="C23" i="1" l="1"/>
  <c r="J25" i="1" s="1"/>
  <c r="G26" i="1" s="1"/>
  <c r="I23" i="1"/>
  <c r="I9" i="1"/>
  <c r="D11" i="1"/>
  <c r="I26" i="1" l="1"/>
  <c r="H26" i="1" s="1"/>
  <c r="J26" i="1" s="1"/>
  <c r="I46" i="1"/>
  <c r="I30" i="1"/>
  <c r="I37" i="1"/>
  <c r="I44" i="1"/>
  <c r="I28" i="1"/>
  <c r="I35" i="1"/>
  <c r="I42" i="1"/>
  <c r="I49" i="1"/>
  <c r="I33" i="1"/>
  <c r="I40" i="1"/>
  <c r="I47" i="1"/>
  <c r="I31" i="1"/>
  <c r="I38" i="1"/>
  <c r="I45" i="1"/>
  <c r="I29" i="1"/>
  <c r="I36" i="1"/>
  <c r="I43" i="1"/>
  <c r="I27" i="1"/>
  <c r="I34" i="1"/>
  <c r="I41" i="1"/>
  <c r="I48" i="1"/>
  <c r="I32" i="1"/>
  <c r="I39" i="1"/>
  <c r="I12" i="1"/>
  <c r="K12" i="1" l="1"/>
  <c r="G27" i="1" l="1"/>
  <c r="H27" i="1" s="1"/>
  <c r="J27" i="1" s="1"/>
  <c r="G28" i="1" l="1"/>
  <c r="H28" i="1" s="1"/>
  <c r="J28" i="1" s="1"/>
  <c r="I50" i="1" l="1"/>
  <c r="G29" i="1" l="1"/>
  <c r="H29" i="1" s="1"/>
  <c r="J29" i="1" s="1"/>
  <c r="G30" i="1" l="1"/>
  <c r="H30" i="1" s="1"/>
  <c r="J30" i="1" s="1"/>
  <c r="G31" i="1" l="1"/>
  <c r="H31" i="1" s="1"/>
  <c r="J31" i="1" s="1"/>
  <c r="G32" i="1" l="1"/>
  <c r="H32" i="1" l="1"/>
  <c r="J32" i="1" s="1"/>
  <c r="G33" i="1" l="1"/>
  <c r="H33" i="1" s="1"/>
  <c r="J33" i="1" s="1"/>
  <c r="G34" i="1" l="1"/>
  <c r="H34" i="1" s="1"/>
  <c r="J34" i="1" s="1"/>
  <c r="G35" i="1" l="1"/>
  <c r="H35" i="1" s="1"/>
  <c r="J35" i="1" s="1"/>
  <c r="G36" i="1" l="1"/>
  <c r="H36" i="1" l="1"/>
  <c r="J36" i="1" s="1"/>
  <c r="G37" i="1" l="1"/>
  <c r="H37" i="1" l="1"/>
  <c r="J37" i="1" s="1"/>
  <c r="G38" i="1" l="1"/>
  <c r="H38" i="1" l="1"/>
  <c r="J38" i="1" l="1"/>
  <c r="G39" i="1" l="1"/>
  <c r="H39" i="1" l="1"/>
  <c r="J39" i="1" l="1"/>
  <c r="G40" i="1" l="1"/>
  <c r="H40" i="1" l="1"/>
  <c r="J40" i="1" l="1"/>
  <c r="G41" i="1" l="1"/>
  <c r="H41" i="1" l="1"/>
  <c r="J41" i="1" l="1"/>
  <c r="G42" i="1" l="1"/>
  <c r="H42" i="1" l="1"/>
  <c r="J42" i="1" l="1"/>
  <c r="G43" i="1" l="1"/>
  <c r="H43" i="1" s="1"/>
  <c r="J43" i="1" s="1"/>
  <c r="G44" i="1" l="1"/>
  <c r="H44" i="1" s="1"/>
  <c r="J44" i="1" s="1"/>
  <c r="G45" i="1" l="1"/>
  <c r="H45" i="1" s="1"/>
  <c r="J45" i="1" s="1"/>
  <c r="G46" i="1" l="1"/>
  <c r="H46" i="1" s="1"/>
  <c r="J46" i="1" s="1"/>
  <c r="G47" i="1" l="1"/>
  <c r="H47" i="1" s="1"/>
  <c r="J47" i="1" s="1"/>
  <c r="G48" i="1" l="1"/>
  <c r="H48" i="1" s="1"/>
  <c r="J48" i="1" s="1"/>
  <c r="G49" i="1" l="1"/>
  <c r="H49" i="1" l="1"/>
  <c r="G50" i="1"/>
  <c r="H50" i="1" l="1"/>
  <c r="J49" i="1"/>
  <c r="J50" i="1" s="1"/>
</calcChain>
</file>

<file path=xl/sharedStrings.xml><?xml version="1.0" encoding="utf-8"?>
<sst xmlns="http://schemas.openxmlformats.org/spreadsheetml/2006/main" count="56" uniqueCount="39">
  <si>
    <t>VALOR 1</t>
  </si>
  <si>
    <t>VALOR 3</t>
  </si>
  <si>
    <t>VALOR 2</t>
  </si>
  <si>
    <t>PRECIO PROMEDIO</t>
  </si>
  <si>
    <t>COMPRA</t>
  </si>
  <si>
    <t>EMPEÑO</t>
  </si>
  <si>
    <t>VALORACIONES</t>
  </si>
  <si>
    <t>$</t>
  </si>
  <si>
    <t>T/C COMPRA</t>
  </si>
  <si>
    <t>C$</t>
  </si>
  <si>
    <t>EXCELENTE</t>
  </si>
  <si>
    <t>PRECIOS ACTUALES DEL ARTÌCULO</t>
  </si>
  <si>
    <t>ESTADO DEL ARTÌCULO</t>
  </si>
  <si>
    <t>MUY BUENO</t>
  </si>
  <si>
    <t>PARAMETROS PORCENTUALES PARA COMPRA Y EMPEÑOS</t>
  </si>
  <si>
    <t>BUENO</t>
  </si>
  <si>
    <t>Tasa Cliente</t>
  </si>
  <si>
    <t>PRECIO DE VENTA CON</t>
  </si>
  <si>
    <t>%UTILIDAD compra</t>
  </si>
  <si>
    <t>%UTILIDAD empeño</t>
  </si>
  <si>
    <t>A- 100% FUNCIONAL.                                                                                                                                                                                                                                                                                                                                 B- 100 % DE ACCESORIOS ORIGINALES Y COMPLETOS.                                                                                                                                                                                                                                                                C- 100% ESTETICO (SIN RAYONES NI QUEBRADURAS).                                                                                                                                                                                                                                                                 D- ESTA EN SU CAJA</t>
  </si>
  <si>
    <t>EXCELENTE:</t>
  </si>
  <si>
    <t>A- 100% FUNCIONAL.                                                                                                                                                                                                                                                                                                                          B- ESTETICAMENTE ACEPTABLE (CON LEVES MARCAS DE DAÑO).                                                                                                                                                                                                                                           C- ARTICULOS QUE TRAEN MAS DE 2 ACCESORIOS, UNO DE LOS ACCESORIOS DEBE SER ORIGINAL.</t>
  </si>
  <si>
    <t>A- 100% FUNCIONAL.                                                                                                                                                                                                                                                                                                                                         B- CON RAYONES QUE NO AFECTAN SU FUNCIONALIDAD.                                                                                                                                                                                                                                                                C- CON MÌNIMO UN ACCESORIO QUE PERMITE LOGRAR SU FUNCIONALIDAD.</t>
  </si>
  <si>
    <t>Plazo</t>
  </si>
  <si>
    <t>Tabla de amortización de deuda</t>
  </si>
  <si>
    <t>CAPITAL PRESTADO(DOLARES)</t>
  </si>
  <si>
    <t>CUOTAS MENSUALES</t>
  </si>
  <si>
    <t>MESES</t>
  </si>
  <si>
    <t xml:space="preserve"> ABONO AL CAPITAL</t>
  </si>
  <si>
    <t>MONTO RESTANTE</t>
  </si>
  <si>
    <t>Totales</t>
  </si>
  <si>
    <t>Fecha de hoy</t>
  </si>
  <si>
    <t>IDCP</t>
  </si>
  <si>
    <t>IDCP $</t>
  </si>
  <si>
    <t>CUOTA A PAGAR</t>
  </si>
  <si>
    <t>VALORACIÒN DEL ARTÍCULO PARA:</t>
  </si>
  <si>
    <t>AJUSTES COMPRA VENTA</t>
  </si>
  <si>
    <t xml:space="preserve">COMPRA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</si>
</sst>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C$&quot;#,##0.00"/>
    <numFmt numFmtId="165" formatCode="[$$-540A]#,##0.00"/>
    <numFmt numFmtId="166" formatCode="#,##0.00\ [$$-C0C]"/>
    <numFmt numFmtId="167" formatCode="[$-F800]dddd\,\ mmmm\ dd\,\ yyyy"/>
  </numFmts>
  <fonts count="18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sz val="9"/>
      <color theme="1"/>
      <name val="Times New Roman"/>
      <family val="1"/>
    </font>
    <font>
      <sz val="8"/>
      <color theme="1"/>
      <name val="Times New Roman"/>
      <family val="1"/>
    </font>
    <font>
      <b/>
      <sz val="22"/>
      <color theme="1"/>
      <name val="Times New Roman"/>
      <family val="1"/>
    </font>
    <font>
      <b/>
      <sz val="18"/>
      <color theme="1"/>
      <name val="Times New Roman"/>
      <family val="1"/>
    </font>
    <font>
      <sz val="11"/>
      <color theme="0"/>
      <name val="Calibri"/>
      <family val="2"/>
      <scheme val="minor"/>
    </font>
    <font>
      <i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0"/>
      <name val="Times New Roman"/>
      <family val="1"/>
    </font>
    <font>
      <sz val="12"/>
      <name val="Times New Roman"/>
      <family val="1"/>
    </font>
    <font>
      <b/>
      <i/>
      <sz val="12"/>
      <name val="Times New Roman"/>
      <family val="1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01">
    <xf numFmtId="0" fontId="0" fillId="0" borderId="0" xfId="0"/>
    <xf numFmtId="0" fontId="0" fillId="2" borderId="2" xfId="0" applyFill="1" applyBorder="1"/>
    <xf numFmtId="0" fontId="0" fillId="2" borderId="4" xfId="0" applyFill="1" applyBorder="1"/>
    <xf numFmtId="0" fontId="1" fillId="2" borderId="0" xfId="0" applyFont="1" applyFill="1" applyBorder="1" applyAlignment="1">
      <alignment horizontal="center"/>
    </xf>
    <xf numFmtId="0" fontId="3" fillId="2" borderId="3" xfId="0" applyFont="1" applyFill="1" applyBorder="1"/>
    <xf numFmtId="0" fontId="3" fillId="2" borderId="0" xfId="0" applyFont="1" applyFill="1" applyBorder="1"/>
    <xf numFmtId="0" fontId="3" fillId="2" borderId="0" xfId="0" applyFont="1" applyFill="1" applyBorder="1" applyAlignment="1">
      <alignment horizontal="right"/>
    </xf>
    <xf numFmtId="0" fontId="3" fillId="4" borderId="0" xfId="0" applyFont="1" applyFill="1" applyBorder="1" applyAlignment="1">
      <alignment horizontal="right"/>
    </xf>
    <xf numFmtId="9" fontId="1" fillId="4" borderId="0" xfId="1" applyFont="1" applyFill="1" applyBorder="1"/>
    <xf numFmtId="0" fontId="3" fillId="4" borderId="0" xfId="0" applyFont="1" applyFill="1" applyBorder="1"/>
    <xf numFmtId="0" fontId="3" fillId="2" borderId="6" xfId="0" applyFont="1" applyFill="1" applyBorder="1" applyAlignment="1">
      <alignment horizontal="right"/>
    </xf>
    <xf numFmtId="0" fontId="3" fillId="2" borderId="8" xfId="0" applyFont="1" applyFill="1" applyBorder="1" applyAlignment="1">
      <alignment horizontal="right"/>
    </xf>
    <xf numFmtId="0" fontId="1" fillId="5" borderId="1" xfId="0" applyFont="1" applyFill="1" applyBorder="1" applyAlignment="1">
      <alignment horizontal="center"/>
    </xf>
    <xf numFmtId="0" fontId="1" fillId="5" borderId="7" xfId="0" applyFont="1" applyFill="1" applyBorder="1" applyAlignment="1">
      <alignment horizontal="center"/>
    </xf>
    <xf numFmtId="164" fontId="3" fillId="3" borderId="7" xfId="0" applyNumberFormat="1" applyFont="1" applyFill="1" applyBorder="1" applyAlignment="1">
      <alignment horizontal="center"/>
    </xf>
    <xf numFmtId="164" fontId="4" fillId="3" borderId="7" xfId="0" applyNumberFormat="1" applyFont="1" applyFill="1" applyBorder="1" applyAlignment="1">
      <alignment horizontal="center"/>
    </xf>
    <xf numFmtId="165" fontId="3" fillId="3" borderId="7" xfId="0" applyNumberFormat="1" applyFont="1" applyFill="1" applyBorder="1" applyAlignment="1">
      <alignment horizontal="center"/>
    </xf>
    <xf numFmtId="165" fontId="4" fillId="3" borderId="7" xfId="0" applyNumberFormat="1" applyFont="1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164" fontId="3" fillId="3" borderId="9" xfId="0" applyNumberFormat="1" applyFont="1" applyFill="1" applyBorder="1" applyAlignment="1">
      <alignment horizontal="center"/>
    </xf>
    <xf numFmtId="165" fontId="3" fillId="3" borderId="2" xfId="0" applyNumberFormat="1" applyFont="1" applyFill="1" applyBorder="1" applyAlignment="1">
      <alignment horizontal="center"/>
    </xf>
    <xf numFmtId="164" fontId="3" fillId="3" borderId="2" xfId="0" applyNumberFormat="1" applyFont="1" applyFill="1" applyBorder="1" applyAlignment="1">
      <alignment horizontal="center"/>
    </xf>
    <xf numFmtId="0" fontId="3" fillId="2" borderId="1" xfId="0" applyFont="1" applyFill="1" applyBorder="1"/>
    <xf numFmtId="0" fontId="0" fillId="2" borderId="0" xfId="0" applyFill="1" applyBorder="1"/>
    <xf numFmtId="0" fontId="3" fillId="3" borderId="0" xfId="0" applyFont="1" applyFill="1" applyBorder="1" applyAlignment="1">
      <alignment horizontal="right"/>
    </xf>
    <xf numFmtId="0" fontId="3" fillId="7" borderId="0" xfId="0" applyFont="1" applyFill="1" applyBorder="1" applyAlignment="1">
      <alignment horizontal="center"/>
    </xf>
    <xf numFmtId="9" fontId="3" fillId="2" borderId="0" xfId="0" applyNumberFormat="1" applyFont="1" applyFill="1" applyBorder="1" applyAlignment="1">
      <alignment horizontal="center"/>
    </xf>
    <xf numFmtId="9" fontId="1" fillId="0" borderId="1" xfId="1" applyFont="1" applyFill="1" applyBorder="1" applyAlignment="1"/>
    <xf numFmtId="0" fontId="0" fillId="8" borderId="0" xfId="0" applyFill="1"/>
    <xf numFmtId="0" fontId="0" fillId="0" borderId="0" xfId="0" applyProtection="1">
      <protection hidden="1"/>
    </xf>
    <xf numFmtId="0" fontId="12" fillId="0" borderId="1" xfId="0" applyFont="1" applyBorder="1" applyAlignment="1" applyProtection="1">
      <alignment horizontal="center" vertical="center" wrapText="1"/>
      <protection hidden="1"/>
    </xf>
    <xf numFmtId="165" fontId="12" fillId="0" borderId="1" xfId="0" applyNumberFormat="1" applyFont="1" applyBorder="1" applyAlignment="1" applyProtection="1">
      <alignment horizontal="center" vertical="center" wrapText="1"/>
      <protection hidden="1"/>
    </xf>
    <xf numFmtId="165" fontId="12" fillId="0" borderId="1" xfId="0" applyNumberFormat="1" applyFont="1" applyBorder="1" applyAlignment="1" applyProtection="1">
      <alignment vertical="center" wrapText="1"/>
      <protection hidden="1"/>
    </xf>
    <xf numFmtId="0" fontId="10" fillId="0" borderId="0" xfId="0" applyFont="1" applyProtection="1">
      <protection hidden="1"/>
    </xf>
    <xf numFmtId="0" fontId="1" fillId="0" borderId="1" xfId="0" applyFont="1" applyBorder="1" applyAlignment="1" applyProtection="1">
      <alignment horizontal="center" vertical="center" wrapText="1"/>
      <protection hidden="1"/>
    </xf>
    <xf numFmtId="165" fontId="1" fillId="0" borderId="1" xfId="0" applyNumberFormat="1" applyFont="1" applyBorder="1" applyAlignment="1" applyProtection="1">
      <alignment horizontal="center" vertical="center" wrapText="1"/>
      <protection hidden="1"/>
    </xf>
    <xf numFmtId="166" fontId="15" fillId="5" borderId="1" xfId="0" applyNumberFormat="1" applyFont="1" applyFill="1" applyBorder="1" applyAlignment="1" applyProtection="1">
      <alignment horizontal="center" vertical="center"/>
      <protection hidden="1"/>
    </xf>
    <xf numFmtId="166" fontId="14" fillId="5" borderId="1" xfId="0" applyNumberFormat="1" applyFont="1" applyFill="1" applyBorder="1" applyAlignment="1" applyProtection="1">
      <alignment horizontal="center" vertical="center"/>
      <protection hidden="1"/>
    </xf>
    <xf numFmtId="0" fontId="3" fillId="0" borderId="0" xfId="0" applyFont="1" applyProtection="1">
      <protection hidden="1"/>
    </xf>
    <xf numFmtId="0" fontId="1" fillId="9" borderId="16" xfId="0" applyFont="1" applyFill="1" applyBorder="1" applyProtection="1">
      <protection hidden="1"/>
    </xf>
    <xf numFmtId="166" fontId="1" fillId="9" borderId="17" xfId="0" applyNumberFormat="1" applyFont="1" applyFill="1" applyBorder="1" applyAlignment="1" applyProtection="1">
      <alignment horizontal="center"/>
      <protection hidden="1"/>
    </xf>
    <xf numFmtId="166" fontId="1" fillId="9" borderId="18" xfId="0" applyNumberFormat="1" applyFont="1" applyFill="1" applyBorder="1" applyAlignment="1" applyProtection="1">
      <alignment horizontal="center"/>
      <protection hidden="1"/>
    </xf>
    <xf numFmtId="166" fontId="3" fillId="9" borderId="19" xfId="0" applyNumberFormat="1" applyFont="1" applyFill="1" applyBorder="1" applyAlignment="1" applyProtection="1">
      <alignment horizontal="center"/>
      <protection hidden="1"/>
    </xf>
    <xf numFmtId="14" fontId="3" fillId="5" borderId="1" xfId="0" applyNumberFormat="1" applyFont="1" applyFill="1" applyBorder="1"/>
    <xf numFmtId="0" fontId="16" fillId="0" borderId="0" xfId="0" applyFont="1" applyProtection="1">
      <protection hidden="1"/>
    </xf>
    <xf numFmtId="9" fontId="1" fillId="0" borderId="1" xfId="1" applyFont="1" applyFill="1" applyBorder="1" applyAlignment="1" applyProtection="1">
      <alignment horizontal="center"/>
      <protection locked="0"/>
    </xf>
    <xf numFmtId="0" fontId="1" fillId="0" borderId="1" xfId="1" applyNumberFormat="1" applyFont="1" applyFill="1" applyBorder="1" applyAlignment="1" applyProtection="1">
      <alignment horizontal="center"/>
      <protection locked="0"/>
    </xf>
    <xf numFmtId="0" fontId="3" fillId="5" borderId="1" xfId="0" applyFont="1" applyFill="1" applyBorder="1" applyAlignment="1" applyProtection="1">
      <alignment horizontal="left"/>
      <protection locked="0"/>
    </xf>
    <xf numFmtId="164" fontId="3" fillId="3" borderId="7" xfId="0" applyNumberFormat="1" applyFont="1" applyFill="1" applyBorder="1" applyAlignment="1" applyProtection="1">
      <alignment horizontal="center"/>
      <protection locked="0"/>
    </xf>
    <xf numFmtId="3" fontId="0" fillId="0" borderId="0" xfId="0" applyNumberFormat="1"/>
    <xf numFmtId="0" fontId="5" fillId="10" borderId="0" xfId="0" applyFont="1" applyFill="1" applyBorder="1" applyAlignment="1">
      <alignment horizontal="right"/>
    </xf>
    <xf numFmtId="0" fontId="0" fillId="5" borderId="0" xfId="0" applyFill="1"/>
    <xf numFmtId="0" fontId="0" fillId="10" borderId="22" xfId="0" applyFill="1" applyBorder="1"/>
    <xf numFmtId="0" fontId="0" fillId="10" borderId="0" xfId="0" applyFill="1" applyBorder="1"/>
    <xf numFmtId="0" fontId="0" fillId="10" borderId="23" xfId="0" applyFill="1" applyBorder="1"/>
    <xf numFmtId="0" fontId="5" fillId="10" borderId="22" xfId="0" applyFont="1" applyFill="1" applyBorder="1" applyAlignment="1">
      <alignment horizontal="right"/>
    </xf>
    <xf numFmtId="0" fontId="0" fillId="10" borderId="22" xfId="0" applyFill="1" applyBorder="1" applyAlignment="1">
      <alignment horizontal="right"/>
    </xf>
    <xf numFmtId="0" fontId="0" fillId="10" borderId="24" xfId="0" applyFill="1" applyBorder="1"/>
    <xf numFmtId="0" fontId="0" fillId="10" borderId="25" xfId="0" applyFill="1" applyBorder="1"/>
    <xf numFmtId="0" fontId="0" fillId="10" borderId="26" xfId="0" applyFill="1" applyBorder="1"/>
    <xf numFmtId="9" fontId="0" fillId="0" borderId="0" xfId="1" applyFont="1" applyBorder="1"/>
    <xf numFmtId="9" fontId="0" fillId="0" borderId="0" xfId="1" applyFont="1" applyFill="1" applyBorder="1"/>
    <xf numFmtId="167" fontId="14" fillId="5" borderId="15" xfId="0" applyNumberFormat="1" applyFont="1" applyFill="1" applyBorder="1" applyAlignment="1" applyProtection="1">
      <alignment horizontal="left" vertical="center"/>
      <protection hidden="1"/>
    </xf>
    <xf numFmtId="167" fontId="14" fillId="5" borderId="9" xfId="0" applyNumberFormat="1" applyFont="1" applyFill="1" applyBorder="1" applyAlignment="1" applyProtection="1">
      <alignment horizontal="left" vertical="center"/>
      <protection hidden="1"/>
    </xf>
    <xf numFmtId="167" fontId="14" fillId="5" borderId="8" xfId="0" applyNumberFormat="1" applyFont="1" applyFill="1" applyBorder="1" applyAlignment="1" applyProtection="1">
      <alignment horizontal="left" vertical="center"/>
      <protection hidden="1"/>
    </xf>
    <xf numFmtId="0" fontId="7" fillId="3" borderId="0" xfId="0" applyFont="1" applyFill="1" applyBorder="1" applyAlignment="1">
      <alignment horizontal="center"/>
    </xf>
    <xf numFmtId="0" fontId="1" fillId="0" borderId="7" xfId="0" applyFont="1" applyBorder="1" applyAlignment="1" applyProtection="1">
      <alignment horizontal="center" vertical="center" wrapText="1"/>
      <protection hidden="1"/>
    </xf>
    <xf numFmtId="0" fontId="1" fillId="0" borderId="8" xfId="0" applyFont="1" applyBorder="1" applyAlignment="1" applyProtection="1">
      <alignment horizontal="center" vertical="center" wrapText="1"/>
      <protection hidden="1"/>
    </xf>
    <xf numFmtId="0" fontId="12" fillId="0" borderId="15" xfId="0" applyFont="1" applyBorder="1" applyAlignment="1" applyProtection="1">
      <alignment horizontal="center" vertical="center"/>
      <protection hidden="1"/>
    </xf>
    <xf numFmtId="0" fontId="12" fillId="0" borderId="9" xfId="0" applyFont="1" applyBorder="1" applyAlignment="1" applyProtection="1">
      <alignment horizontal="center" vertical="center"/>
      <protection hidden="1"/>
    </xf>
    <xf numFmtId="0" fontId="12" fillId="0" borderId="8" xfId="0" applyFont="1" applyBorder="1" applyAlignment="1" applyProtection="1">
      <alignment horizontal="center" vertical="center"/>
      <protection hidden="1"/>
    </xf>
    <xf numFmtId="167" fontId="13" fillId="5" borderId="15" xfId="0" applyNumberFormat="1" applyFont="1" applyFill="1" applyBorder="1" applyAlignment="1" applyProtection="1">
      <alignment horizontal="left" vertical="center"/>
      <protection hidden="1"/>
    </xf>
    <xf numFmtId="167" fontId="13" fillId="5" borderId="9" xfId="0" applyNumberFormat="1" applyFont="1" applyFill="1" applyBorder="1" applyAlignment="1" applyProtection="1">
      <alignment horizontal="left" vertical="center"/>
      <protection hidden="1"/>
    </xf>
    <xf numFmtId="167" fontId="13" fillId="5" borderId="8" xfId="0" applyNumberFormat="1" applyFont="1" applyFill="1" applyBorder="1" applyAlignment="1" applyProtection="1">
      <alignment horizontal="left" vertical="center"/>
      <protection hidden="1"/>
    </xf>
    <xf numFmtId="0" fontId="1" fillId="0" borderId="1" xfId="0" applyFont="1" applyBorder="1" applyAlignment="1" applyProtection="1">
      <alignment horizontal="center"/>
      <protection hidden="1"/>
    </xf>
    <xf numFmtId="0" fontId="1" fillId="0" borderId="9" xfId="0" applyFont="1" applyBorder="1" applyAlignment="1" applyProtection="1">
      <alignment horizontal="center" vertical="center" wrapText="1"/>
      <protection hidden="1"/>
    </xf>
    <xf numFmtId="166" fontId="11" fillId="0" borderId="15" xfId="0" applyNumberFormat="1" applyFont="1" applyBorder="1" applyAlignment="1" applyProtection="1">
      <alignment horizontal="center" vertical="center"/>
      <protection hidden="1"/>
    </xf>
    <xf numFmtId="166" fontId="11" fillId="0" borderId="9" xfId="0" applyNumberFormat="1" applyFont="1" applyBorder="1" applyAlignment="1" applyProtection="1">
      <alignment horizontal="center" vertical="center"/>
      <protection hidden="1"/>
    </xf>
    <xf numFmtId="166" fontId="11" fillId="0" borderId="8" xfId="0" applyNumberFormat="1" applyFont="1" applyBorder="1" applyAlignment="1" applyProtection="1">
      <alignment horizontal="center" vertical="center"/>
      <protection hidden="1"/>
    </xf>
    <xf numFmtId="9" fontId="11" fillId="0" borderId="7" xfId="0" applyNumberFormat="1" applyFont="1" applyBorder="1" applyAlignment="1" applyProtection="1">
      <alignment horizontal="center" vertical="center"/>
      <protection hidden="1"/>
    </xf>
    <xf numFmtId="9" fontId="11" fillId="0" borderId="8" xfId="0" applyNumberFormat="1" applyFont="1" applyBorder="1" applyAlignment="1" applyProtection="1">
      <alignment horizontal="center" vertical="center"/>
      <protection hidden="1"/>
    </xf>
    <xf numFmtId="166" fontId="11" fillId="0" borderId="7" xfId="0" applyNumberFormat="1" applyFont="1" applyBorder="1" applyAlignment="1" applyProtection="1">
      <alignment horizontal="center" vertical="center"/>
      <protection hidden="1"/>
    </xf>
    <xf numFmtId="0" fontId="0" fillId="0" borderId="0" xfId="0" applyAlignment="1">
      <alignment horizontal="left" wrapText="1"/>
    </xf>
    <xf numFmtId="164" fontId="7" fillId="2" borderId="1" xfId="0" applyNumberFormat="1" applyFont="1" applyFill="1" applyBorder="1" applyAlignment="1">
      <alignment horizontal="left" wrapText="1"/>
    </xf>
    <xf numFmtId="0" fontId="9" fillId="2" borderId="3" xfId="0" applyFont="1" applyFill="1" applyBorder="1" applyAlignment="1">
      <alignment horizontal="center"/>
    </xf>
    <xf numFmtId="164" fontId="6" fillId="2" borderId="1" xfId="0" applyNumberFormat="1" applyFont="1" applyFill="1" applyBorder="1" applyAlignment="1">
      <alignment horizontal="left" vertical="top" wrapText="1"/>
    </xf>
    <xf numFmtId="0" fontId="1" fillId="7" borderId="4" xfId="0" applyFont="1" applyFill="1" applyBorder="1" applyAlignment="1">
      <alignment horizontal="center"/>
    </xf>
    <xf numFmtId="0" fontId="1" fillId="7" borderId="0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1" fillId="7" borderId="5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2" fontId="8" fillId="0" borderId="10" xfId="0" applyNumberFormat="1" applyFont="1" applyFill="1" applyBorder="1" applyAlignment="1" applyProtection="1">
      <alignment horizontal="center" vertical="center"/>
      <protection locked="0"/>
    </xf>
    <xf numFmtId="2" fontId="8" fillId="0" borderId="11" xfId="0" applyNumberFormat="1" applyFont="1" applyFill="1" applyBorder="1" applyAlignment="1" applyProtection="1">
      <alignment horizontal="center" vertical="center"/>
      <protection locked="0"/>
    </xf>
    <xf numFmtId="2" fontId="8" fillId="0" borderId="12" xfId="0" applyNumberFormat="1" applyFont="1" applyFill="1" applyBorder="1" applyAlignment="1" applyProtection="1">
      <alignment horizontal="center" vertical="center"/>
      <protection locked="0"/>
    </xf>
    <xf numFmtId="2" fontId="8" fillId="0" borderId="13" xfId="0" applyNumberFormat="1" applyFont="1" applyFill="1" applyBorder="1" applyAlignment="1" applyProtection="1">
      <alignment horizontal="center" vertical="center"/>
      <protection locked="0"/>
    </xf>
    <xf numFmtId="0" fontId="5" fillId="0" borderId="14" xfId="0" applyFont="1" applyFill="1" applyBorder="1" applyAlignment="1">
      <alignment horizontal="left" vertical="top" wrapText="1"/>
    </xf>
    <xf numFmtId="0" fontId="5" fillId="0" borderId="0" xfId="0" applyFont="1" applyFill="1" applyBorder="1" applyAlignment="1">
      <alignment horizontal="left" vertical="top" wrapText="1"/>
    </xf>
    <xf numFmtId="0" fontId="12" fillId="6" borderId="0" xfId="0" applyFont="1" applyFill="1" applyAlignment="1">
      <alignment horizontal="center"/>
    </xf>
    <xf numFmtId="0" fontId="17" fillId="10" borderId="20" xfId="0" applyFont="1" applyFill="1" applyBorder="1" applyAlignment="1">
      <alignment horizontal="center"/>
    </xf>
    <xf numFmtId="0" fontId="17" fillId="10" borderId="14" xfId="0" applyFont="1" applyFill="1" applyBorder="1" applyAlignment="1">
      <alignment horizontal="center"/>
    </xf>
    <xf numFmtId="0" fontId="17" fillId="10" borderId="21" xfId="0" applyFont="1" applyFill="1" applyBorder="1" applyAlignment="1">
      <alignment horizontal="center"/>
    </xf>
  </cellXfs>
  <cellStyles count="2">
    <cellStyle name="Normal" xfId="0" builtinId="0"/>
    <cellStyle name="Porcentaje" xfId="1" builtinId="5"/>
  </cellStyles>
  <dxfs count="1">
    <dxf>
      <font>
        <b/>
        <i val="0"/>
      </font>
      <fill>
        <patternFill>
          <bgColor rgb="FFFFFF00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ajustes de %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valoracione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11</xdr:row>
      <xdr:rowOff>19050</xdr:rowOff>
    </xdr:from>
    <xdr:to>
      <xdr:col>1</xdr:col>
      <xdr:colOff>1419225</xdr:colOff>
      <xdr:row>11</xdr:row>
      <xdr:rowOff>209550</xdr:rowOff>
    </xdr:to>
    <xdr:sp macro="[0]!BORRAR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4300" y="2238375"/>
          <a:ext cx="1371600" cy="1905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NI" sz="12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BORRAR</a:t>
          </a:r>
        </a:p>
      </xdr:txBody>
    </xdr:sp>
    <xdr:clientData/>
  </xdr:twoCellAnchor>
  <xdr:twoCellAnchor>
    <xdr:from>
      <xdr:col>9</xdr:col>
      <xdr:colOff>1485900</xdr:colOff>
      <xdr:row>1</xdr:row>
      <xdr:rowOff>66675</xdr:rowOff>
    </xdr:from>
    <xdr:to>
      <xdr:col>10</xdr:col>
      <xdr:colOff>809625</xdr:colOff>
      <xdr:row>1</xdr:row>
      <xdr:rowOff>276225</xdr:rowOff>
    </xdr:to>
    <xdr:sp macro="[0]!AJUSTE" textlink="">
      <xdr:nvSpPr>
        <xdr:cNvPr id="3" name="Rectángulo redondead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125200" y="257175"/>
          <a:ext cx="819150" cy="209550"/>
        </a:xfrm>
        <a:prstGeom prst="roundRect">
          <a:avLst/>
        </a:prstGeom>
        <a:solidFill>
          <a:schemeClr val="bg2">
            <a:lumMod val="5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MX" sz="1100" b="1">
              <a:solidFill>
                <a:schemeClr val="tx1"/>
              </a:solidFill>
            </a:rPr>
            <a:t>AJUSTES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51288</xdr:rowOff>
    </xdr:from>
    <xdr:to>
      <xdr:col>2</xdr:col>
      <xdr:colOff>21981</xdr:colOff>
      <xdr:row>10</xdr:row>
      <xdr:rowOff>58615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89942" y="1773115"/>
          <a:ext cx="1077058" cy="197827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Z50"/>
  <sheetViews>
    <sheetView showGridLines="0" tabSelected="1" topLeftCell="A23" zoomScale="115" zoomScaleNormal="115" workbookViewId="0">
      <selection activeCell="C25" sqref="C25:J49"/>
    </sheetView>
  </sheetViews>
  <sheetFormatPr baseColWidth="10" defaultRowHeight="15" x14ac:dyDescent="0.25"/>
  <cols>
    <col min="1" max="1" width="1" customWidth="1"/>
    <col min="2" max="2" width="21.7109375" bestFit="1" customWidth="1"/>
    <col min="3" max="3" width="14.7109375" bestFit="1" customWidth="1"/>
    <col min="4" max="4" width="14.85546875" bestFit="1" customWidth="1"/>
    <col min="5" max="5" width="5.42578125" customWidth="1"/>
    <col min="6" max="6" width="8.28515625" customWidth="1"/>
    <col min="7" max="7" width="22.140625" customWidth="1"/>
    <col min="8" max="8" width="22.28515625" bestFit="1" customWidth="1"/>
    <col min="9" max="9" width="10.7109375" bestFit="1" customWidth="1"/>
    <col min="10" max="10" width="22.42578125" bestFit="1" customWidth="1"/>
    <col min="11" max="11" width="12.42578125" bestFit="1" customWidth="1"/>
    <col min="12" max="12" width="2.28515625" customWidth="1"/>
    <col min="13" max="13" width="4" customWidth="1"/>
    <col min="14" max="25" width="0" hidden="1" customWidth="1"/>
  </cols>
  <sheetData>
    <row r="2" spans="1:26" ht="22.5" x14ac:dyDescent="0.3">
      <c r="A2" s="1"/>
      <c r="B2" s="84" t="s">
        <v>6</v>
      </c>
      <c r="C2" s="84"/>
      <c r="D2" s="84"/>
      <c r="E2" s="84"/>
      <c r="F2" s="84"/>
      <c r="G2" s="84"/>
      <c r="H2" s="84"/>
      <c r="I2" s="84"/>
      <c r="J2" s="84"/>
      <c r="K2" s="84"/>
      <c r="L2" s="4"/>
    </row>
    <row r="3" spans="1:26" ht="15.75" x14ac:dyDescent="0.25">
      <c r="A3" s="2"/>
      <c r="B3" s="6" t="s">
        <v>16</v>
      </c>
      <c r="C3" s="45">
        <v>0.1</v>
      </c>
      <c r="D3" s="5"/>
      <c r="E3" s="5"/>
      <c r="F3" s="5"/>
      <c r="G3" s="5"/>
      <c r="H3" s="5"/>
      <c r="I3" s="5"/>
      <c r="J3" s="6" t="s">
        <v>8</v>
      </c>
      <c r="K3" s="47">
        <v>34.85</v>
      </c>
      <c r="L3" s="5"/>
      <c r="N3" t="s">
        <v>21</v>
      </c>
    </row>
    <row r="4" spans="1:26" ht="15.75" x14ac:dyDescent="0.25">
      <c r="A4" s="2"/>
      <c r="B4" s="6" t="s">
        <v>24</v>
      </c>
      <c r="C4" s="46">
        <v>3</v>
      </c>
      <c r="D4" s="5"/>
      <c r="E4" s="5"/>
      <c r="F4" s="5"/>
      <c r="G4" s="5"/>
      <c r="H4" s="5"/>
      <c r="I4" s="5"/>
      <c r="J4" s="6" t="s">
        <v>32</v>
      </c>
      <c r="K4" s="43">
        <f ca="1">+TODAY()</f>
        <v>44835</v>
      </c>
      <c r="L4" s="5"/>
    </row>
    <row r="5" spans="1:26" ht="7.5" customHeight="1" x14ac:dyDescent="0.25">
      <c r="A5" s="2"/>
      <c r="B5" s="7"/>
      <c r="C5" s="8"/>
      <c r="D5" s="9"/>
      <c r="E5" s="9"/>
      <c r="F5" s="9"/>
      <c r="G5" s="9"/>
      <c r="H5" s="9"/>
      <c r="I5" s="9"/>
      <c r="J5" s="9"/>
      <c r="K5" s="9"/>
      <c r="L5" s="9"/>
    </row>
    <row r="6" spans="1:26" ht="16.5" thickBot="1" x14ac:dyDescent="0.3">
      <c r="A6" s="2"/>
      <c r="B6" s="90" t="s">
        <v>11</v>
      </c>
      <c r="C6" s="90"/>
      <c r="D6" s="90"/>
      <c r="E6" s="5"/>
      <c r="F6" s="90" t="s">
        <v>12</v>
      </c>
      <c r="G6" s="90"/>
      <c r="H6" s="97" t="s">
        <v>36</v>
      </c>
      <c r="I6" s="97"/>
      <c r="J6" s="97"/>
      <c r="K6" s="97"/>
      <c r="L6" s="3"/>
      <c r="N6" s="82" t="s">
        <v>20</v>
      </c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</row>
    <row r="7" spans="1:26" ht="15.75" x14ac:dyDescent="0.25">
      <c r="A7" s="2"/>
      <c r="B7" s="5"/>
      <c r="C7" s="13" t="s">
        <v>9</v>
      </c>
      <c r="D7" s="12" t="s">
        <v>7</v>
      </c>
      <c r="E7" s="5"/>
      <c r="F7" s="91" t="s">
        <v>15</v>
      </c>
      <c r="G7" s="92"/>
      <c r="H7" s="87" t="s">
        <v>4</v>
      </c>
      <c r="I7" s="89"/>
      <c r="J7" s="86" t="s">
        <v>5</v>
      </c>
      <c r="K7" s="87"/>
      <c r="L7" s="5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</row>
    <row r="8" spans="1:26" ht="15.75" customHeight="1" thickBot="1" x14ac:dyDescent="0.3">
      <c r="A8" s="2"/>
      <c r="B8" s="10" t="s">
        <v>0</v>
      </c>
      <c r="C8" s="48">
        <v>4300</v>
      </c>
      <c r="D8" s="16">
        <f>C8/$K$3</f>
        <v>123.38593974175035</v>
      </c>
      <c r="E8" s="5"/>
      <c r="F8" s="93"/>
      <c r="G8" s="94"/>
      <c r="H8" s="18" t="s">
        <v>9</v>
      </c>
      <c r="I8" s="12" t="s">
        <v>7</v>
      </c>
      <c r="J8" s="13" t="s">
        <v>9</v>
      </c>
      <c r="K8" s="12" t="s">
        <v>7</v>
      </c>
      <c r="L8" s="5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82"/>
      <c r="Z8" s="49"/>
    </row>
    <row r="9" spans="1:26" ht="15.75" customHeight="1" x14ac:dyDescent="0.25">
      <c r="A9" s="2"/>
      <c r="B9" s="11" t="s">
        <v>2</v>
      </c>
      <c r="C9" s="48">
        <v>4800</v>
      </c>
      <c r="D9" s="16">
        <f>C9/$K$3</f>
        <v>137.73314203730271</v>
      </c>
      <c r="E9" s="5"/>
      <c r="F9" s="95" t="str">
        <f>IF(F7="EXCELENTE",N6,IF(F7="MUY BUENO",N11,IF(F7="BUENO",N16)))</f>
        <v>A- 100% FUNCIONAL.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B- CON RAYONES QUE NO AFECTAN SU FUNCIONALIDAD.                                                                                                                                                                                                                                                                C- CON MÌNIMO UN ACCESORIO QUE PERMITE LOGRAR SU FUNCIONALIDAD.</v>
      </c>
      <c r="G9" s="95"/>
      <c r="H9" s="19">
        <f>IF(F7="EXCELENTE",C11*C15,IF(F7="MUY BUENO",C11*C16,IF(F7="BUENO",C11*C17)))</f>
        <v>2444</v>
      </c>
      <c r="I9" s="16">
        <f>H9/K3</f>
        <v>70.129124820659968</v>
      </c>
      <c r="J9" s="14">
        <f>IF(F7="EXCELENTE",C11*D15,IF(F7="MUY BUENO",C11*D16,IF(F7="BUENO",C11*D17)))</f>
        <v>1880</v>
      </c>
      <c r="K9" s="16">
        <f>(J9/K3)</f>
        <v>53.945480631276901</v>
      </c>
      <c r="L9" s="5"/>
    </row>
    <row r="10" spans="1:26" ht="15.75" x14ac:dyDescent="0.25">
      <c r="A10" s="2"/>
      <c r="B10" s="11" t="s">
        <v>1</v>
      </c>
      <c r="C10" s="48">
        <v>5000</v>
      </c>
      <c r="D10" s="16">
        <f>C10/$K$3</f>
        <v>143.47202295552367</v>
      </c>
      <c r="E10" s="5"/>
      <c r="F10" s="96"/>
      <c r="G10" s="96"/>
      <c r="H10" s="88" t="s">
        <v>17</v>
      </c>
      <c r="I10" s="88"/>
      <c r="J10" s="88"/>
      <c r="K10" s="88"/>
      <c r="L10" s="5"/>
      <c r="N10" t="s">
        <v>13</v>
      </c>
    </row>
    <row r="11" spans="1:26" ht="18.75" x14ac:dyDescent="0.3">
      <c r="A11" s="2"/>
      <c r="B11" s="5" t="s">
        <v>3</v>
      </c>
      <c r="C11" s="15">
        <f>+IF(AND(C8=0,C9=0,C10=0),0,(SUM(C8:C10)/COUNTIF(C8:C10,"&gt;0")))</f>
        <v>4700</v>
      </c>
      <c r="D11" s="17">
        <f>C11/K3</f>
        <v>134.86370157819223</v>
      </c>
      <c r="E11" s="5"/>
      <c r="F11" s="96"/>
      <c r="G11" s="96"/>
      <c r="H11" s="87" t="s">
        <v>4</v>
      </c>
      <c r="I11" s="89"/>
      <c r="J11" s="86" t="s">
        <v>5</v>
      </c>
      <c r="K11" s="87"/>
      <c r="L11" s="5"/>
      <c r="N11" s="82" t="s">
        <v>22</v>
      </c>
      <c r="O11" s="82"/>
      <c r="P11" s="82"/>
      <c r="Q11" s="82"/>
      <c r="R11" s="82"/>
      <c r="S11" s="82"/>
      <c r="T11" s="82"/>
      <c r="U11" s="82"/>
      <c r="V11" s="82"/>
      <c r="W11" s="82"/>
      <c r="X11" s="82"/>
      <c r="Y11" s="82"/>
    </row>
    <row r="12" spans="1:26" ht="17.25" customHeight="1" x14ac:dyDescent="0.25">
      <c r="A12" s="2"/>
      <c r="B12" s="5"/>
      <c r="C12" s="5"/>
      <c r="D12" s="5"/>
      <c r="E12" s="5"/>
      <c r="F12" s="96"/>
      <c r="G12" s="96"/>
      <c r="H12" s="21">
        <f>(H9*I13)+H9</f>
        <v>3543.8</v>
      </c>
      <c r="I12" s="20">
        <f>H12/K3</f>
        <v>101.68723098995696</v>
      </c>
      <c r="J12" s="21">
        <f>(((J9*C3*2)+J9)*K13)+(J9*C3*2)+J9</f>
        <v>3271.2</v>
      </c>
      <c r="K12" s="20">
        <f>J12/K3</f>
        <v>93.865136298421803</v>
      </c>
      <c r="L12" s="5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</row>
    <row r="13" spans="1:26" ht="15.75" x14ac:dyDescent="0.25">
      <c r="A13" s="2"/>
      <c r="B13" s="65" t="s">
        <v>14</v>
      </c>
      <c r="C13" s="65"/>
      <c r="D13" s="65"/>
      <c r="E13" s="5"/>
      <c r="F13" s="96"/>
      <c r="G13" s="96"/>
      <c r="H13" s="22" t="s">
        <v>18</v>
      </c>
      <c r="I13" s="27">
        <f>+'ajustes de %'!B7</f>
        <v>0.45</v>
      </c>
      <c r="J13" s="22" t="s">
        <v>19</v>
      </c>
      <c r="K13" s="27">
        <f>+'ajustes de %'!B8</f>
        <v>0.45</v>
      </c>
      <c r="L13" s="5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</row>
    <row r="14" spans="1:26" ht="15.75" customHeight="1" x14ac:dyDescent="0.25">
      <c r="A14" s="2"/>
      <c r="B14" s="5"/>
      <c r="C14" s="25" t="s">
        <v>4</v>
      </c>
      <c r="D14" s="25" t="s">
        <v>5</v>
      </c>
      <c r="E14" s="5"/>
      <c r="F14" s="96"/>
      <c r="G14" s="96"/>
      <c r="H14" s="85"/>
      <c r="I14" s="85"/>
      <c r="J14" s="83"/>
      <c r="K14" s="83"/>
      <c r="L14" s="5"/>
    </row>
    <row r="15" spans="1:26" ht="15.75" x14ac:dyDescent="0.25">
      <c r="A15" s="2"/>
      <c r="B15" s="24" t="s">
        <v>10</v>
      </c>
      <c r="C15" s="26">
        <f>+'ajustes de %'!B3</f>
        <v>0.68</v>
      </c>
      <c r="D15" s="26">
        <f>+'ajustes de %'!C3</f>
        <v>0.53</v>
      </c>
      <c r="E15" s="5"/>
      <c r="F15" s="96"/>
      <c r="G15" s="96"/>
      <c r="H15" s="85"/>
      <c r="I15" s="85"/>
      <c r="J15" s="83"/>
      <c r="K15" s="83"/>
      <c r="L15" s="5"/>
      <c r="N15" t="s">
        <v>15</v>
      </c>
    </row>
    <row r="16" spans="1:26" ht="59.25" customHeight="1" x14ac:dyDescent="0.25">
      <c r="A16" s="2"/>
      <c r="B16" s="24" t="s">
        <v>13</v>
      </c>
      <c r="C16" s="26">
        <f>+'ajustes de %'!B4</f>
        <v>0.6</v>
      </c>
      <c r="D16" s="26">
        <f>+'ajustes de %'!C4</f>
        <v>0.47</v>
      </c>
      <c r="E16" s="5"/>
      <c r="F16" s="96"/>
      <c r="G16" s="96"/>
      <c r="H16" s="85"/>
      <c r="I16" s="85"/>
      <c r="J16" s="83"/>
      <c r="K16" s="83"/>
      <c r="L16" s="5"/>
      <c r="N16" s="82" t="s">
        <v>23</v>
      </c>
      <c r="O16" s="82"/>
      <c r="P16" s="82"/>
      <c r="Q16" s="82"/>
      <c r="R16" s="82"/>
      <c r="S16" s="82"/>
      <c r="T16" s="82"/>
      <c r="U16" s="82"/>
      <c r="V16" s="82"/>
      <c r="W16" s="82"/>
      <c r="X16" s="82"/>
      <c r="Y16" s="82"/>
    </row>
    <row r="17" spans="1:12" ht="54" customHeight="1" x14ac:dyDescent="0.25">
      <c r="A17" s="23"/>
      <c r="B17" s="24" t="s">
        <v>15</v>
      </c>
      <c r="C17" s="26">
        <f>+'ajustes de %'!B5</f>
        <v>0.52</v>
      </c>
      <c r="D17" s="26">
        <f>+'ajustes de %'!C5</f>
        <v>0.4</v>
      </c>
      <c r="E17" s="5"/>
      <c r="F17" s="96"/>
      <c r="G17" s="96"/>
      <c r="H17" s="85"/>
      <c r="I17" s="85"/>
      <c r="J17" s="83"/>
      <c r="K17" s="83"/>
      <c r="L17" s="5"/>
    </row>
    <row r="18" spans="1:12" ht="62.25" customHeight="1" x14ac:dyDescent="0.25">
      <c r="A18" s="23"/>
      <c r="B18" s="28"/>
      <c r="C18" s="5"/>
      <c r="D18" s="5"/>
      <c r="E18" s="5"/>
      <c r="F18" s="96"/>
      <c r="G18" s="96"/>
      <c r="H18" s="85"/>
      <c r="I18" s="85"/>
      <c r="J18" s="83"/>
      <c r="K18" s="83"/>
      <c r="L18" s="5"/>
    </row>
    <row r="19" spans="1:12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</row>
    <row r="21" spans="1:12" ht="15.75" x14ac:dyDescent="0.25">
      <c r="B21" s="29"/>
      <c r="C21" s="74" t="s">
        <v>25</v>
      </c>
      <c r="D21" s="74"/>
      <c r="E21" s="74"/>
      <c r="F21" s="74"/>
      <c r="G21" s="74"/>
      <c r="H21" s="74"/>
      <c r="I21" s="74"/>
      <c r="J21" s="74"/>
    </row>
    <row r="22" spans="1:12" ht="63" customHeight="1" x14ac:dyDescent="0.25">
      <c r="B22" s="29"/>
      <c r="C22" s="66" t="s">
        <v>26</v>
      </c>
      <c r="D22" s="75"/>
      <c r="E22" s="75"/>
      <c r="F22" s="67"/>
      <c r="G22" s="66" t="s">
        <v>33</v>
      </c>
      <c r="H22" s="67"/>
      <c r="I22" s="66" t="s">
        <v>27</v>
      </c>
      <c r="J22" s="67"/>
    </row>
    <row r="23" spans="1:12" ht="15.75" x14ac:dyDescent="0.25">
      <c r="B23" s="29"/>
      <c r="C23" s="76">
        <f>+K9</f>
        <v>53.945480631276901</v>
      </c>
      <c r="D23" s="77"/>
      <c r="E23" s="77"/>
      <c r="F23" s="78"/>
      <c r="G23" s="79">
        <f>+C3</f>
        <v>0.1</v>
      </c>
      <c r="H23" s="80"/>
      <c r="I23" s="81">
        <f>+PMT(C3,C4,K9)*-1</f>
        <v>21.692276350522533</v>
      </c>
      <c r="J23" s="78"/>
    </row>
    <row r="24" spans="1:12" ht="28.5" x14ac:dyDescent="0.25">
      <c r="B24" s="29"/>
      <c r="C24" s="68" t="s">
        <v>28</v>
      </c>
      <c r="D24" s="69"/>
      <c r="E24" s="69"/>
      <c r="F24" s="70"/>
      <c r="G24" s="30" t="s">
        <v>34</v>
      </c>
      <c r="H24" s="30" t="s">
        <v>29</v>
      </c>
      <c r="I24" s="31" t="s">
        <v>35</v>
      </c>
      <c r="J24" s="32" t="s">
        <v>30</v>
      </c>
    </row>
    <row r="25" spans="1:12" ht="15.75" x14ac:dyDescent="0.25">
      <c r="B25" s="33">
        <v>0</v>
      </c>
      <c r="C25" s="71">
        <f ca="1">+K4</f>
        <v>44835</v>
      </c>
      <c r="D25" s="72"/>
      <c r="E25" s="72"/>
      <c r="F25" s="73"/>
      <c r="G25" s="34"/>
      <c r="H25" s="34"/>
      <c r="I25" s="35"/>
      <c r="J25" s="35">
        <f>+C23</f>
        <v>53.945480631276901</v>
      </c>
    </row>
    <row r="26" spans="1:12" ht="15.75" x14ac:dyDescent="0.25">
      <c r="B26" s="44">
        <v>1</v>
      </c>
      <c r="C26" s="62">
        <f ca="1">IF(B26&lt;=$C$4,EDATE(C25,$B$26),"")</f>
        <v>44866</v>
      </c>
      <c r="D26" s="63"/>
      <c r="E26" s="63"/>
      <c r="F26" s="64"/>
      <c r="G26" s="36">
        <f>IF(B26&lt;=C$4,J25*C$3,"")</f>
        <v>5.3945480631276901</v>
      </c>
      <c r="H26" s="37">
        <f>IF(B26&lt;=C$4,I26-G26,"")</f>
        <v>16.297728287394843</v>
      </c>
      <c r="I26" s="36">
        <f>IF(B26&lt;=$C$4,$I$23,"")</f>
        <v>21.692276350522533</v>
      </c>
      <c r="J26" s="37">
        <f>IF(B26&lt;=C$4,J25-H26,"")</f>
        <v>37.647752343882061</v>
      </c>
    </row>
    <row r="27" spans="1:12" ht="15.75" x14ac:dyDescent="0.25">
      <c r="B27" s="44">
        <v>2</v>
      </c>
      <c r="C27" s="62">
        <f ca="1">IF(B27&lt;=$C$4,EDATE(C26,$B$26),"")</f>
        <v>44896</v>
      </c>
      <c r="D27" s="63"/>
      <c r="E27" s="63"/>
      <c r="F27" s="64"/>
      <c r="G27" s="36">
        <f t="shared" ref="G27:G49" si="0">IF(B27&lt;=C$4,J26*C$3,"")</f>
        <v>3.7647752343882064</v>
      </c>
      <c r="H27" s="37">
        <f t="shared" ref="H27:H49" si="1">IF(B27&lt;=C$4,I27-G27,"")</f>
        <v>17.927501116134327</v>
      </c>
      <c r="I27" s="36">
        <f t="shared" ref="I27:I49" si="2">IF(B27&lt;=$C$4,$I$23,"")</f>
        <v>21.692276350522533</v>
      </c>
      <c r="J27" s="37">
        <f t="shared" ref="J27:J49" si="3">IF(B27&lt;=C$4,J26-H27,"")</f>
        <v>19.720251227747735</v>
      </c>
    </row>
    <row r="28" spans="1:12" ht="15.75" x14ac:dyDescent="0.25">
      <c r="B28" s="44">
        <v>3</v>
      </c>
      <c r="C28" s="62">
        <f ca="1">IF(B28&lt;=$C$4,EDATE(C27,$B$26),"")</f>
        <v>44927</v>
      </c>
      <c r="D28" s="63"/>
      <c r="E28" s="63"/>
      <c r="F28" s="64"/>
      <c r="G28" s="36">
        <f t="shared" si="0"/>
        <v>1.9720251227747736</v>
      </c>
      <c r="H28" s="37">
        <f t="shared" si="1"/>
        <v>19.72025122774776</v>
      </c>
      <c r="I28" s="36">
        <f t="shared" si="2"/>
        <v>21.692276350522533</v>
      </c>
      <c r="J28" s="37">
        <f t="shared" si="3"/>
        <v>-2.4868995751603507E-14</v>
      </c>
    </row>
    <row r="29" spans="1:12" ht="15.75" x14ac:dyDescent="0.25">
      <c r="B29" s="44">
        <v>4</v>
      </c>
      <c r="C29" s="62" t="str">
        <f t="shared" ref="C29:C49" si="4">IF(B29&lt;=$C$4,EDATE(C28,$B$26),"")</f>
        <v/>
      </c>
      <c r="D29" s="63"/>
      <c r="E29" s="63"/>
      <c r="F29" s="64"/>
      <c r="G29" s="36" t="str">
        <f t="shared" si="0"/>
        <v/>
      </c>
      <c r="H29" s="37" t="str">
        <f t="shared" si="1"/>
        <v/>
      </c>
      <c r="I29" s="36" t="str">
        <f t="shared" si="2"/>
        <v/>
      </c>
      <c r="J29" s="37" t="str">
        <f t="shared" si="3"/>
        <v/>
      </c>
    </row>
    <row r="30" spans="1:12" ht="15.75" x14ac:dyDescent="0.25">
      <c r="B30" s="44">
        <v>5</v>
      </c>
      <c r="C30" s="62" t="str">
        <f t="shared" si="4"/>
        <v/>
      </c>
      <c r="D30" s="63"/>
      <c r="E30" s="63"/>
      <c r="F30" s="64"/>
      <c r="G30" s="36" t="str">
        <f t="shared" si="0"/>
        <v/>
      </c>
      <c r="H30" s="37" t="str">
        <f t="shared" si="1"/>
        <v/>
      </c>
      <c r="I30" s="36" t="str">
        <f t="shared" si="2"/>
        <v/>
      </c>
      <c r="J30" s="37" t="str">
        <f t="shared" si="3"/>
        <v/>
      </c>
    </row>
    <row r="31" spans="1:12" ht="15.75" x14ac:dyDescent="0.25">
      <c r="B31" s="44">
        <v>6</v>
      </c>
      <c r="C31" s="62" t="str">
        <f t="shared" si="4"/>
        <v/>
      </c>
      <c r="D31" s="63"/>
      <c r="E31" s="63"/>
      <c r="F31" s="64"/>
      <c r="G31" s="36" t="str">
        <f t="shared" si="0"/>
        <v/>
      </c>
      <c r="H31" s="37" t="str">
        <f t="shared" si="1"/>
        <v/>
      </c>
      <c r="I31" s="36" t="str">
        <f t="shared" si="2"/>
        <v/>
      </c>
      <c r="J31" s="37" t="str">
        <f t="shared" si="3"/>
        <v/>
      </c>
    </row>
    <row r="32" spans="1:12" ht="15.75" x14ac:dyDescent="0.25">
      <c r="B32" s="44">
        <v>7</v>
      </c>
      <c r="C32" s="62" t="str">
        <f t="shared" si="4"/>
        <v/>
      </c>
      <c r="D32" s="63"/>
      <c r="E32" s="63"/>
      <c r="F32" s="64"/>
      <c r="G32" s="36" t="str">
        <f t="shared" si="0"/>
        <v/>
      </c>
      <c r="H32" s="37" t="str">
        <f t="shared" si="1"/>
        <v/>
      </c>
      <c r="I32" s="36" t="str">
        <f t="shared" si="2"/>
        <v/>
      </c>
      <c r="J32" s="37" t="str">
        <f t="shared" si="3"/>
        <v/>
      </c>
    </row>
    <row r="33" spans="2:10" ht="15.75" x14ac:dyDescent="0.25">
      <c r="B33" s="44">
        <v>8</v>
      </c>
      <c r="C33" s="62" t="str">
        <f t="shared" si="4"/>
        <v/>
      </c>
      <c r="D33" s="63"/>
      <c r="E33" s="63"/>
      <c r="F33" s="64"/>
      <c r="G33" s="36" t="str">
        <f t="shared" si="0"/>
        <v/>
      </c>
      <c r="H33" s="37" t="str">
        <f t="shared" si="1"/>
        <v/>
      </c>
      <c r="I33" s="36" t="str">
        <f t="shared" si="2"/>
        <v/>
      </c>
      <c r="J33" s="37" t="str">
        <f t="shared" si="3"/>
        <v/>
      </c>
    </row>
    <row r="34" spans="2:10" ht="15.75" x14ac:dyDescent="0.25">
      <c r="B34" s="44">
        <v>9</v>
      </c>
      <c r="C34" s="62" t="str">
        <f t="shared" si="4"/>
        <v/>
      </c>
      <c r="D34" s="63"/>
      <c r="E34" s="63"/>
      <c r="F34" s="64"/>
      <c r="G34" s="36" t="str">
        <f t="shared" si="0"/>
        <v/>
      </c>
      <c r="H34" s="37" t="str">
        <f t="shared" si="1"/>
        <v/>
      </c>
      <c r="I34" s="36" t="str">
        <f t="shared" si="2"/>
        <v/>
      </c>
      <c r="J34" s="37" t="str">
        <f t="shared" si="3"/>
        <v/>
      </c>
    </row>
    <row r="35" spans="2:10" ht="15.75" x14ac:dyDescent="0.25">
      <c r="B35" s="44">
        <v>10</v>
      </c>
      <c r="C35" s="62" t="str">
        <f t="shared" si="4"/>
        <v/>
      </c>
      <c r="D35" s="63"/>
      <c r="E35" s="63"/>
      <c r="F35" s="64"/>
      <c r="G35" s="36" t="str">
        <f t="shared" si="0"/>
        <v/>
      </c>
      <c r="H35" s="37" t="str">
        <f t="shared" si="1"/>
        <v/>
      </c>
      <c r="I35" s="36" t="str">
        <f t="shared" si="2"/>
        <v/>
      </c>
      <c r="J35" s="37" t="str">
        <f t="shared" si="3"/>
        <v/>
      </c>
    </row>
    <row r="36" spans="2:10" ht="15.75" x14ac:dyDescent="0.25">
      <c r="B36" s="44">
        <v>11</v>
      </c>
      <c r="C36" s="62" t="str">
        <f t="shared" si="4"/>
        <v/>
      </c>
      <c r="D36" s="63"/>
      <c r="E36" s="63"/>
      <c r="F36" s="64"/>
      <c r="G36" s="36" t="str">
        <f t="shared" si="0"/>
        <v/>
      </c>
      <c r="H36" s="37" t="str">
        <f t="shared" si="1"/>
        <v/>
      </c>
      <c r="I36" s="36" t="str">
        <f t="shared" si="2"/>
        <v/>
      </c>
      <c r="J36" s="37" t="str">
        <f t="shared" si="3"/>
        <v/>
      </c>
    </row>
    <row r="37" spans="2:10" ht="15.75" x14ac:dyDescent="0.25">
      <c r="B37" s="44">
        <v>12</v>
      </c>
      <c r="C37" s="62" t="str">
        <f t="shared" si="4"/>
        <v/>
      </c>
      <c r="D37" s="63"/>
      <c r="E37" s="63"/>
      <c r="F37" s="64"/>
      <c r="G37" s="36" t="str">
        <f t="shared" si="0"/>
        <v/>
      </c>
      <c r="H37" s="37" t="str">
        <f t="shared" si="1"/>
        <v/>
      </c>
      <c r="I37" s="36" t="str">
        <f t="shared" si="2"/>
        <v/>
      </c>
      <c r="J37" s="37" t="str">
        <f t="shared" si="3"/>
        <v/>
      </c>
    </row>
    <row r="38" spans="2:10" ht="15.75" x14ac:dyDescent="0.25">
      <c r="B38" s="44">
        <v>13</v>
      </c>
      <c r="C38" s="62" t="str">
        <f t="shared" si="4"/>
        <v/>
      </c>
      <c r="D38" s="63"/>
      <c r="E38" s="63"/>
      <c r="F38" s="64"/>
      <c r="G38" s="36" t="str">
        <f t="shared" si="0"/>
        <v/>
      </c>
      <c r="H38" s="37" t="str">
        <f t="shared" si="1"/>
        <v/>
      </c>
      <c r="I38" s="36" t="str">
        <f t="shared" si="2"/>
        <v/>
      </c>
      <c r="J38" s="37" t="str">
        <f t="shared" si="3"/>
        <v/>
      </c>
    </row>
    <row r="39" spans="2:10" ht="15.75" x14ac:dyDescent="0.25">
      <c r="B39" s="44">
        <v>14</v>
      </c>
      <c r="C39" s="62" t="str">
        <f t="shared" si="4"/>
        <v/>
      </c>
      <c r="D39" s="63"/>
      <c r="E39" s="63"/>
      <c r="F39" s="64"/>
      <c r="G39" s="36" t="str">
        <f t="shared" si="0"/>
        <v/>
      </c>
      <c r="H39" s="37" t="str">
        <f t="shared" si="1"/>
        <v/>
      </c>
      <c r="I39" s="36" t="str">
        <f t="shared" si="2"/>
        <v/>
      </c>
      <c r="J39" s="37" t="str">
        <f t="shared" si="3"/>
        <v/>
      </c>
    </row>
    <row r="40" spans="2:10" ht="15.75" x14ac:dyDescent="0.25">
      <c r="B40" s="44">
        <v>15</v>
      </c>
      <c r="C40" s="62" t="str">
        <f t="shared" si="4"/>
        <v/>
      </c>
      <c r="D40" s="63"/>
      <c r="E40" s="63"/>
      <c r="F40" s="64"/>
      <c r="G40" s="36" t="str">
        <f t="shared" si="0"/>
        <v/>
      </c>
      <c r="H40" s="37" t="str">
        <f t="shared" si="1"/>
        <v/>
      </c>
      <c r="I40" s="36" t="str">
        <f t="shared" si="2"/>
        <v/>
      </c>
      <c r="J40" s="37" t="str">
        <f t="shared" si="3"/>
        <v/>
      </c>
    </row>
    <row r="41" spans="2:10" ht="15.75" x14ac:dyDescent="0.25">
      <c r="B41" s="44">
        <v>16</v>
      </c>
      <c r="C41" s="62" t="str">
        <f t="shared" si="4"/>
        <v/>
      </c>
      <c r="D41" s="63"/>
      <c r="E41" s="63"/>
      <c r="F41" s="64"/>
      <c r="G41" s="36" t="str">
        <f t="shared" si="0"/>
        <v/>
      </c>
      <c r="H41" s="37" t="str">
        <f t="shared" si="1"/>
        <v/>
      </c>
      <c r="I41" s="36" t="str">
        <f t="shared" si="2"/>
        <v/>
      </c>
      <c r="J41" s="37" t="str">
        <f t="shared" si="3"/>
        <v/>
      </c>
    </row>
    <row r="42" spans="2:10" ht="15.75" x14ac:dyDescent="0.25">
      <c r="B42" s="44">
        <v>17</v>
      </c>
      <c r="C42" s="62" t="str">
        <f t="shared" si="4"/>
        <v/>
      </c>
      <c r="D42" s="63"/>
      <c r="E42" s="63"/>
      <c r="F42" s="64"/>
      <c r="G42" s="36" t="str">
        <f t="shared" si="0"/>
        <v/>
      </c>
      <c r="H42" s="37" t="str">
        <f t="shared" si="1"/>
        <v/>
      </c>
      <c r="I42" s="36" t="str">
        <f t="shared" si="2"/>
        <v/>
      </c>
      <c r="J42" s="37" t="str">
        <f t="shared" si="3"/>
        <v/>
      </c>
    </row>
    <row r="43" spans="2:10" ht="15.75" x14ac:dyDescent="0.25">
      <c r="B43" s="44">
        <v>18</v>
      </c>
      <c r="C43" s="62" t="str">
        <f t="shared" si="4"/>
        <v/>
      </c>
      <c r="D43" s="63"/>
      <c r="E43" s="63"/>
      <c r="F43" s="64"/>
      <c r="G43" s="36" t="str">
        <f t="shared" si="0"/>
        <v/>
      </c>
      <c r="H43" s="37" t="str">
        <f t="shared" si="1"/>
        <v/>
      </c>
      <c r="I43" s="36" t="str">
        <f t="shared" si="2"/>
        <v/>
      </c>
      <c r="J43" s="37" t="str">
        <f t="shared" si="3"/>
        <v/>
      </c>
    </row>
    <row r="44" spans="2:10" ht="15.75" x14ac:dyDescent="0.25">
      <c r="B44" s="44">
        <v>19</v>
      </c>
      <c r="C44" s="62" t="str">
        <f t="shared" si="4"/>
        <v/>
      </c>
      <c r="D44" s="63"/>
      <c r="E44" s="63"/>
      <c r="F44" s="64"/>
      <c r="G44" s="36" t="str">
        <f t="shared" si="0"/>
        <v/>
      </c>
      <c r="H44" s="37" t="str">
        <f t="shared" si="1"/>
        <v/>
      </c>
      <c r="I44" s="36" t="str">
        <f t="shared" si="2"/>
        <v/>
      </c>
      <c r="J44" s="37" t="str">
        <f t="shared" si="3"/>
        <v/>
      </c>
    </row>
    <row r="45" spans="2:10" ht="15.75" x14ac:dyDescent="0.25">
      <c r="B45" s="44">
        <v>20</v>
      </c>
      <c r="C45" s="62" t="str">
        <f t="shared" si="4"/>
        <v/>
      </c>
      <c r="D45" s="63"/>
      <c r="E45" s="63"/>
      <c r="F45" s="64"/>
      <c r="G45" s="36" t="str">
        <f t="shared" si="0"/>
        <v/>
      </c>
      <c r="H45" s="37" t="str">
        <f t="shared" si="1"/>
        <v/>
      </c>
      <c r="I45" s="36" t="str">
        <f t="shared" si="2"/>
        <v/>
      </c>
      <c r="J45" s="37" t="str">
        <f t="shared" si="3"/>
        <v/>
      </c>
    </row>
    <row r="46" spans="2:10" ht="15.75" x14ac:dyDescent="0.25">
      <c r="B46" s="44">
        <v>21</v>
      </c>
      <c r="C46" s="62" t="str">
        <f t="shared" si="4"/>
        <v/>
      </c>
      <c r="D46" s="63"/>
      <c r="E46" s="63"/>
      <c r="F46" s="64"/>
      <c r="G46" s="36" t="str">
        <f t="shared" si="0"/>
        <v/>
      </c>
      <c r="H46" s="37" t="str">
        <f t="shared" si="1"/>
        <v/>
      </c>
      <c r="I46" s="36" t="str">
        <f t="shared" si="2"/>
        <v/>
      </c>
      <c r="J46" s="37" t="str">
        <f t="shared" si="3"/>
        <v/>
      </c>
    </row>
    <row r="47" spans="2:10" ht="15.75" x14ac:dyDescent="0.25">
      <c r="B47" s="44">
        <v>22</v>
      </c>
      <c r="C47" s="62" t="str">
        <f t="shared" si="4"/>
        <v/>
      </c>
      <c r="D47" s="63"/>
      <c r="E47" s="63"/>
      <c r="F47" s="64"/>
      <c r="G47" s="36" t="str">
        <f t="shared" si="0"/>
        <v/>
      </c>
      <c r="H47" s="37" t="str">
        <f t="shared" si="1"/>
        <v/>
      </c>
      <c r="I47" s="36" t="str">
        <f t="shared" si="2"/>
        <v/>
      </c>
      <c r="J47" s="37" t="str">
        <f t="shared" si="3"/>
        <v/>
      </c>
    </row>
    <row r="48" spans="2:10" ht="15.75" x14ac:dyDescent="0.25">
      <c r="B48" s="44">
        <v>23</v>
      </c>
      <c r="C48" s="62" t="str">
        <f t="shared" si="4"/>
        <v/>
      </c>
      <c r="D48" s="63"/>
      <c r="E48" s="63"/>
      <c r="F48" s="64"/>
      <c r="G48" s="36" t="str">
        <f t="shared" si="0"/>
        <v/>
      </c>
      <c r="H48" s="37" t="str">
        <f t="shared" si="1"/>
        <v/>
      </c>
      <c r="I48" s="36" t="str">
        <f t="shared" si="2"/>
        <v/>
      </c>
      <c r="J48" s="37" t="str">
        <f t="shared" si="3"/>
        <v/>
      </c>
    </row>
    <row r="49" spans="2:10" ht="16.5" thickBot="1" x14ac:dyDescent="0.3">
      <c r="B49" s="44">
        <v>24</v>
      </c>
      <c r="C49" s="62" t="str">
        <f t="shared" si="4"/>
        <v/>
      </c>
      <c r="D49" s="63"/>
      <c r="E49" s="63"/>
      <c r="F49" s="64"/>
      <c r="G49" s="36" t="str">
        <f t="shared" si="0"/>
        <v/>
      </c>
      <c r="H49" s="37" t="str">
        <f t="shared" si="1"/>
        <v/>
      </c>
      <c r="I49" s="36" t="str">
        <f t="shared" si="2"/>
        <v/>
      </c>
      <c r="J49" s="37" t="str">
        <f t="shared" si="3"/>
        <v/>
      </c>
    </row>
    <row r="50" spans="2:10" ht="16.5" thickBot="1" x14ac:dyDescent="0.3">
      <c r="B50" s="33"/>
      <c r="C50" s="38"/>
      <c r="D50" s="38"/>
      <c r="E50" s="38"/>
      <c r="F50" s="39" t="s">
        <v>31</v>
      </c>
      <c r="G50" s="40">
        <f>SUM(G26:G49)</f>
        <v>11.131348420290671</v>
      </c>
      <c r="H50" s="40">
        <f>SUM(H26:H49)</f>
        <v>53.945480631276929</v>
      </c>
      <c r="I50" s="41">
        <f>SUM(I26:I49)</f>
        <v>65.0768290515676</v>
      </c>
      <c r="J50" s="42">
        <f>SUM(J26:J49)</f>
        <v>57.368003571629771</v>
      </c>
    </row>
  </sheetData>
  <sheetProtection algorithmName="SHA-512" hashValue="vkhKA68GGdNfd/47ldQPHRO+SAYReconuHdWO1jWRzHBeBcPX1jZgEZ4KtdpazMoKXWFEKjklGeUPA4Jwbh8QA==" saltValue="P52rDO/Vf44c2sXc0n+x0Q==" spinCount="100000" sheet="1" objects="1" scenarios="1"/>
  <mergeCells count="50">
    <mergeCell ref="N6:Y8"/>
    <mergeCell ref="N11:Y13"/>
    <mergeCell ref="N16:Y16"/>
    <mergeCell ref="J14:K18"/>
    <mergeCell ref="B2:K2"/>
    <mergeCell ref="H14:I18"/>
    <mergeCell ref="J7:K7"/>
    <mergeCell ref="H10:K10"/>
    <mergeCell ref="H11:I11"/>
    <mergeCell ref="J11:K11"/>
    <mergeCell ref="B6:D6"/>
    <mergeCell ref="F6:G6"/>
    <mergeCell ref="H7:I7"/>
    <mergeCell ref="F7:G8"/>
    <mergeCell ref="F9:G18"/>
    <mergeCell ref="H6:K6"/>
    <mergeCell ref="C21:J21"/>
    <mergeCell ref="C22:F22"/>
    <mergeCell ref="G22:H22"/>
    <mergeCell ref="C23:F23"/>
    <mergeCell ref="G23:H23"/>
    <mergeCell ref="I23:J23"/>
    <mergeCell ref="C24:F24"/>
    <mergeCell ref="C25:F25"/>
    <mergeCell ref="C26:F26"/>
    <mergeCell ref="C27:F27"/>
    <mergeCell ref="C28:F28"/>
    <mergeCell ref="C37:F37"/>
    <mergeCell ref="C38:F38"/>
    <mergeCell ref="C29:F29"/>
    <mergeCell ref="C30:F30"/>
    <mergeCell ref="C31:F31"/>
    <mergeCell ref="C32:F32"/>
    <mergeCell ref="C33:F33"/>
    <mergeCell ref="C49:F49"/>
    <mergeCell ref="B13:D13"/>
    <mergeCell ref="I22:J22"/>
    <mergeCell ref="C44:F44"/>
    <mergeCell ref="C45:F45"/>
    <mergeCell ref="C46:F46"/>
    <mergeCell ref="C47:F47"/>
    <mergeCell ref="C48:F48"/>
    <mergeCell ref="C39:F39"/>
    <mergeCell ref="C40:F40"/>
    <mergeCell ref="C41:F41"/>
    <mergeCell ref="C42:F42"/>
    <mergeCell ref="C43:F43"/>
    <mergeCell ref="C34:F34"/>
    <mergeCell ref="C35:F35"/>
    <mergeCell ref="C36:F36"/>
  </mergeCells>
  <conditionalFormatting sqref="J25:J49">
    <cfRule type="cellIs" dxfId="0" priority="1" operator="lessThanOrEqual">
      <formula>1</formula>
    </cfRule>
  </conditionalFormatting>
  <dataValidations count="2">
    <dataValidation type="list" allowBlank="1" showInputMessage="1" showErrorMessage="1" sqref="F7" xr:uid="{00000000-0002-0000-0000-000000000000}">
      <formula1>"EXCELENTE, MUY BUENO, BUENO"</formula1>
    </dataValidation>
    <dataValidation type="list" allowBlank="1" showInputMessage="1" showErrorMessage="1" sqref="C3" xr:uid="{00000000-0002-0000-0000-000001000000}">
      <formula1>"10%,12%,15%"</formula1>
    </dataValidation>
  </dataValidations>
  <pageMargins left="0.7" right="0.7" top="0.75" bottom="0.75" header="0.3" footer="0.3"/>
  <pageSetup paperSize="9" orientation="portrait" horizontalDpi="120" verticalDpi="7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P11"/>
  <sheetViews>
    <sheetView zoomScale="130" zoomScaleNormal="130" workbookViewId="0">
      <selection sqref="A1:D1"/>
    </sheetView>
  </sheetViews>
  <sheetFormatPr baseColWidth="10" defaultColWidth="11.42578125" defaultRowHeight="15" x14ac:dyDescent="0.25"/>
  <cols>
    <col min="1" max="1" width="23.85546875" style="51" customWidth="1"/>
    <col min="2" max="2" width="15.85546875" style="51" customWidth="1"/>
    <col min="3" max="3" width="15.7109375" style="51" customWidth="1"/>
    <col min="4" max="16384" width="11.42578125" style="51"/>
  </cols>
  <sheetData>
    <row r="1" spans="1:42" customFormat="1" ht="15.75" x14ac:dyDescent="0.25">
      <c r="A1" s="98" t="s">
        <v>37</v>
      </c>
      <c r="B1" s="99"/>
      <c r="C1" s="99"/>
      <c r="D1" s="100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</row>
    <row r="2" spans="1:42" customFormat="1" x14ac:dyDescent="0.25">
      <c r="A2" s="52"/>
      <c r="B2" s="50" t="s">
        <v>38</v>
      </c>
      <c r="C2" s="50" t="s">
        <v>5</v>
      </c>
      <c r="D2" s="54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</row>
    <row r="3" spans="1:42" customFormat="1" x14ac:dyDescent="0.25">
      <c r="A3" s="55" t="s">
        <v>10</v>
      </c>
      <c r="B3" s="60">
        <v>0.68</v>
      </c>
      <c r="C3" s="60">
        <v>0.53</v>
      </c>
      <c r="D3" s="54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</row>
    <row r="4" spans="1:42" customFormat="1" x14ac:dyDescent="0.25">
      <c r="A4" s="55" t="s">
        <v>13</v>
      </c>
      <c r="B4" s="60">
        <v>0.6</v>
      </c>
      <c r="C4" s="60">
        <v>0.47</v>
      </c>
      <c r="D4" s="54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</row>
    <row r="5" spans="1:42" customFormat="1" x14ac:dyDescent="0.25">
      <c r="A5" s="55" t="s">
        <v>15</v>
      </c>
      <c r="B5" s="60">
        <v>0.52</v>
      </c>
      <c r="C5" s="60">
        <v>0.4</v>
      </c>
      <c r="D5" s="54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</row>
    <row r="6" spans="1:42" customFormat="1" x14ac:dyDescent="0.25">
      <c r="A6" s="52"/>
      <c r="B6" s="53"/>
      <c r="C6" s="53"/>
      <c r="D6" s="54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</row>
    <row r="7" spans="1:42" customFormat="1" x14ac:dyDescent="0.25">
      <c r="A7" s="56" t="s">
        <v>18</v>
      </c>
      <c r="B7" s="61">
        <v>0.45</v>
      </c>
      <c r="C7" s="53"/>
      <c r="D7" s="54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</row>
    <row r="8" spans="1:42" customFormat="1" x14ac:dyDescent="0.25">
      <c r="A8" s="56" t="s">
        <v>19</v>
      </c>
      <c r="B8" s="61">
        <v>0.45</v>
      </c>
      <c r="C8" s="53"/>
      <c r="D8" s="54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</row>
    <row r="9" spans="1:42" customFormat="1" x14ac:dyDescent="0.25">
      <c r="A9" s="52"/>
      <c r="B9" s="53"/>
      <c r="C9" s="53"/>
      <c r="D9" s="54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</row>
    <row r="10" spans="1:42" customFormat="1" x14ac:dyDescent="0.25">
      <c r="A10" s="52"/>
      <c r="B10" s="53"/>
      <c r="C10" s="53"/>
      <c r="D10" s="54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</row>
    <row r="11" spans="1:42" customFormat="1" ht="15.75" thickBot="1" x14ac:dyDescent="0.3">
      <c r="A11" s="57"/>
      <c r="B11" s="58"/>
      <c r="C11" s="58"/>
      <c r="D11" s="59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</row>
  </sheetData>
  <mergeCells count="1">
    <mergeCell ref="A1:D1"/>
  </mergeCells>
  <pageMargins left="0.7" right="0.7" top="0.75" bottom="0.75" header="0.3" footer="0.3"/>
  <pageSetup paperSize="9" orientation="portrait" horizontalDpi="120" verticalDpi="7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valoraciones</vt:lpstr>
      <vt:lpstr>ajustes de %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PC_ADMON</dc:creator>
  <cp:lastModifiedBy>Wilber Jose Matus Gonzalez</cp:lastModifiedBy>
  <cp:lastPrinted>2020-10-27T22:48:21Z</cp:lastPrinted>
  <dcterms:created xsi:type="dcterms:W3CDTF">2020-10-23T17:19:22Z</dcterms:created>
  <dcterms:modified xsi:type="dcterms:W3CDTF">2022-10-02T03:30:08Z</dcterms:modified>
</cp:coreProperties>
</file>